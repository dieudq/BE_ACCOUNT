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<sst xmlns="http://schemas.openxmlformats.org/spreadsheetml/2006/main" count="1110" uniqueCount="365">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</sst>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>
        <v>521</v>
      </c>
      <c r="G6" s="30">
        <f>SUBTOTAL(9,$G$7:$G$9)</f>
        <v>0</v>
      </c>
      <c r="H6" s="30" t="e">
        <f>I6/$I$5</f>
        <v>#DIV/0!</v>
      </c>
      <c r="I6" s="30">
        <f>SUBTOTAL(9,I7:I9)</f>
        <v>0</v>
      </c>
      <c r="J6" s="30" t="e">
        <f>K6/$K$5</f>
        <v>#DIV/0!</v>
      </c>
      <c r="K6" s="30">
        <f>SUBTOTAL(9,K7:K9)</f>
        <v>0</v>
      </c>
      <c r="L6" s="30" t="e">
        <f>M6/$M$5</f>
        <v>#DIV/0!</v>
      </c>
      <c r="M6" s="30">
        <f>SUBTOTAL(9,M7:M9)</f>
        <v>0</v>
      </c>
      <c r="N6" s="30" t="e">
        <f>O6/$O$5</f>
        <v>#DIV/0!</v>
      </c>
      <c r="O6" s="30">
        <f>SUBTOTAL(9,O7:O9)</f>
        <v>0</v>
      </c>
      <c r="P6" s="30" t="e">
        <f>Q6/$Q$5</f>
        <v>#DIV/0!</v>
      </c>
      <c r="Q6" s="30">
        <f>SUBTOTAL(9,Q7:Q9)</f>
        <v>0</v>
      </c>
      <c r="R6" s="30" t="e">
        <f>S6/$S$5</f>
        <v>#DIV/0!</v>
      </c>
      <c r="S6" s="30">
        <f>SUBTOTAL(9,S7:S9)</f>
        <v>0</v>
      </c>
      <c r="T6" s="30" t="e">
        <f>U6/$U$5</f>
        <v>#DIV/0!</v>
      </c>
      <c r="U6" s="30">
        <f>SUBTOTAL(9,U7:U9)</f>
        <v>0</v>
      </c>
      <c r="V6" s="30"/>
      <c r="W6" s="30">
        <f t="shared" ref="W6:AC6" si="3">SUBTOTAL(9,W7:W9)</f>
        <v>0</v>
      </c>
      <c r="X6" s="30">
        <f t="shared" si="3"/>
        <v>0</v>
      </c>
      <c r="Y6" s="30">
        <f t="shared" si="3"/>
        <v>0</v>
      </c>
      <c r="Z6" s="30">
        <f t="shared" si="3"/>
        <v>0</v>
      </c>
      <c r="AA6" s="30">
        <f t="shared" si="3"/>
        <v>0</v>
      </c>
      <c r="AB6" s="30">
        <f t="shared" si="3"/>
        <v>0</v>
      </c>
      <c r="AC6" s="30">
        <f t="shared" si="3"/>
        <v>0</v>
      </c>
      <c r="AD6" s="31" t="e">
        <f t="shared" ref="AD6:AD15" si="4">E6/$E$5</f>
        <v>#DIV/0!</v>
      </c>
    </row>
    <row r="7" ht="12.75" customHeight="1" spans="1:30" x14ac:dyDescent="0.25">
      <c r="A7" s="27" t="s">
        <v>19</v>
      </c>
      <c r="C7" s="32" t="s">
        <v>20</v>
      </c>
      <c r="D7" s="28">
        <f>E5-D6</f>
        <v>0</v>
      </c>
      <c r="E7" s="33">
        <f t="shared" si="1"/>
        <v>0</v>
      </c>
      <c r="F7" s="3"/>
      <c r="G7" s="34"/>
      <c r="H7" s="3"/>
      <c r="I7" s="34"/>
      <c r="J7" s="3"/>
      <c r="K7" s="34"/>
      <c r="L7" s="3"/>
      <c r="M7" s="34"/>
      <c r="N7" s="3"/>
      <c r="O7" s="34"/>
      <c r="P7" s="3"/>
      <c r="Q7" s="34"/>
      <c r="R7" s="3"/>
      <c r="S7" s="34"/>
      <c r="T7" s="3"/>
      <c r="U7" s="34"/>
      <c r="V7" s="3"/>
      <c r="W7" s="34"/>
      <c r="X7" s="3"/>
      <c r="Y7" s="34"/>
      <c r="Z7" s="3"/>
      <c r="AA7" s="34"/>
      <c r="AB7" s="3"/>
      <c r="AC7" s="34"/>
      <c r="AD7" s="35" t="e">
        <f t="shared" si="4"/>
        <v>#DIV/0!</v>
      </c>
    </row>
    <row r="8" ht="12.75" customHeight="1" spans="2:30" x14ac:dyDescent="0.25">
      <c r="C8" s="32" t="s">
        <v>21</v>
      </c>
      <c r="D8" s="35"/>
      <c r="E8" s="33">
        <f t="shared" si="1"/>
        <v>0</v>
      </c>
      <c r="F8" s="3"/>
      <c r="G8" s="34"/>
      <c r="H8" s="3"/>
      <c r="I8" s="34"/>
      <c r="J8" s="3"/>
      <c r="K8" s="34"/>
      <c r="L8" s="3"/>
      <c r="M8" s="34"/>
      <c r="N8" s="3"/>
      <c r="O8" s="34"/>
      <c r="P8" s="3"/>
      <c r="Q8" s="34"/>
      <c r="R8" s="3"/>
      <c r="S8" s="34"/>
      <c r="T8" s="3"/>
      <c r="U8" s="34"/>
      <c r="V8" s="3"/>
      <c r="W8" s="34"/>
      <c r="X8" s="3"/>
      <c r="Y8" s="34"/>
      <c r="Z8" s="3"/>
      <c r="AA8" s="34"/>
      <c r="AB8" s="3"/>
      <c r="AC8" s="34"/>
      <c r="AD8" s="35" t="e">
        <f t="shared" si="4"/>
        <v>#DIV/0!</v>
      </c>
    </row>
    <row r="9" ht="12.75" customHeight="1" spans="2:30" x14ac:dyDescent="0.25">
      <c r="C9" s="32" t="s">
        <v>22</v>
      </c>
      <c r="D9" s="28">
        <f>D7-D6</f>
        <v>0</v>
      </c>
      <c r="E9" s="33">
        <f t="shared" si="1"/>
        <v>0</v>
      </c>
      <c r="F9" s="3">
        <v>0</v>
      </c>
      <c r="G9" s="34"/>
      <c r="H9" s="3"/>
      <c r="I9" s="34"/>
      <c r="J9" s="34"/>
      <c r="K9" s="34"/>
      <c r="L9" s="3"/>
      <c r="M9" s="34"/>
      <c r="N9" s="3"/>
      <c r="O9" s="34"/>
      <c r="P9" s="3"/>
      <c r="Q9" s="34"/>
      <c r="R9" s="3"/>
      <c r="S9" s="34"/>
      <c r="T9" s="3"/>
      <c r="U9" s="34"/>
      <c r="V9" s="3"/>
      <c r="W9" s="34"/>
      <c r="X9" s="3"/>
      <c r="Y9" s="3"/>
      <c r="Z9" s="3"/>
      <c r="AA9" s="34"/>
      <c r="AB9" s="3"/>
      <c r="AC9" s="34"/>
      <c r="AD9" s="35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1"/>
      <c r="E10" s="29">
        <f t="shared" si="1"/>
        <v>0</v>
      </c>
      <c r="F10" s="30"/>
      <c r="G10" s="34"/>
      <c r="H10" s="3"/>
      <c r="I10" s="34"/>
      <c r="J10" s="3"/>
      <c r="K10" s="36"/>
      <c r="L10" s="3"/>
      <c r="M10" s="34"/>
      <c r="N10" s="3"/>
      <c r="O10" s="34"/>
      <c r="P10" s="3"/>
      <c r="Q10" s="34"/>
      <c r="R10" s="3"/>
      <c r="S10" s="34"/>
      <c r="T10" s="3"/>
      <c r="U10" s="34"/>
      <c r="V10" s="3"/>
      <c r="W10" s="34"/>
      <c r="X10" s="3"/>
      <c r="Y10" s="3"/>
      <c r="Z10" s="3"/>
      <c r="AA10" s="34"/>
      <c r="AB10" s="3"/>
      <c r="AC10" s="34"/>
      <c r="AD10" s="31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1"/>
      <c r="E11" s="29">
        <f t="shared" si="1"/>
        <v>0</v>
      </c>
      <c r="F11" s="30"/>
      <c r="G11" s="34"/>
      <c r="H11" s="3"/>
      <c r="I11" s="34"/>
      <c r="J11" s="3"/>
      <c r="K11" s="36"/>
      <c r="L11" s="3"/>
      <c r="M11" s="34"/>
      <c r="N11" s="3"/>
      <c r="O11" s="34"/>
      <c r="P11" s="3"/>
      <c r="Q11" s="34"/>
      <c r="R11" s="3"/>
      <c r="S11" s="34"/>
      <c r="T11" s="3"/>
      <c r="U11" s="34"/>
      <c r="V11" s="3"/>
      <c r="W11" s="34"/>
      <c r="X11" s="3"/>
      <c r="Y11" s="3"/>
      <c r="Z11" s="3"/>
      <c r="AA11" s="34"/>
      <c r="AB11" s="3"/>
      <c r="AC11" s="34"/>
      <c r="AD11" s="31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2" t="s">
        <v>27</v>
      </c>
      <c r="D12" s="31"/>
      <c r="E12" s="29">
        <f t="shared" si="1"/>
        <v>0</v>
      </c>
      <c r="F12" s="30">
        <v>9350</v>
      </c>
      <c r="G12" s="34"/>
      <c r="H12" s="3"/>
      <c r="I12" s="34"/>
      <c r="J12" s="3"/>
      <c r="K12" s="36"/>
      <c r="L12" s="3"/>
      <c r="M12" s="34"/>
      <c r="N12" s="3"/>
      <c r="O12" s="34"/>
      <c r="P12" s="3"/>
      <c r="Q12" s="34"/>
      <c r="R12" s="3"/>
      <c r="S12" s="34"/>
      <c r="T12" s="3"/>
      <c r="U12" s="34"/>
      <c r="V12" s="3"/>
      <c r="W12" s="34"/>
      <c r="X12" s="3"/>
      <c r="Y12" s="3"/>
      <c r="Z12" s="3"/>
      <c r="AA12" s="34"/>
      <c r="AB12" s="3"/>
      <c r="AC12" s="34"/>
      <c r="AD12" s="31" t="e">
        <f t="shared" si="4"/>
        <v>#DIV/0!</v>
      </c>
    </row>
    <row r="13" ht="12.75" customHeight="1" spans="1:30" x14ac:dyDescent="0.25">
      <c r="A13" s="37">
        <v>711.1</v>
      </c>
      <c r="B13" s="37" t="s">
        <v>28</v>
      </c>
      <c r="C13" s="38">
        <f>E14+E15</f>
        <v>0</v>
      </c>
      <c r="D13" s="39"/>
      <c r="E13" s="40">
        <f t="shared" si="1"/>
        <v>0</v>
      </c>
      <c r="F13" s="41">
        <v>0</v>
      </c>
      <c r="G13" s="34"/>
      <c r="H13" s="3"/>
      <c r="I13" s="34"/>
      <c r="J13" s="3"/>
      <c r="K13" s="36"/>
      <c r="L13" s="3"/>
      <c r="M13" s="34"/>
      <c r="N13" s="3"/>
      <c r="O13" s="34"/>
      <c r="P13" s="3"/>
      <c r="Q13" s="34"/>
      <c r="R13" s="3"/>
      <c r="S13" s="34"/>
      <c r="T13" s="3"/>
      <c r="U13" s="34"/>
      <c r="V13" s="3"/>
      <c r="W13" s="34"/>
      <c r="X13" s="3"/>
      <c r="Y13" s="3"/>
      <c r="Z13" s="3"/>
      <c r="AA13" s="34"/>
      <c r="AB13" s="3"/>
      <c r="AC13" s="34"/>
      <c r="AD13" s="39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2" t="s">
        <v>31</v>
      </c>
      <c r="D14" s="31"/>
      <c r="E14" s="29">
        <f t="shared" si="1"/>
        <v>0</v>
      </c>
      <c r="F14" s="30">
        <v>0</v>
      </c>
      <c r="G14" s="34"/>
      <c r="H14" s="3"/>
      <c r="I14" s="34"/>
      <c r="J14" s="3"/>
      <c r="K14" s="36"/>
      <c r="L14" s="3"/>
      <c r="M14" s="34"/>
      <c r="N14" s="3"/>
      <c r="O14" s="34"/>
      <c r="P14" s="3"/>
      <c r="Q14" s="34"/>
      <c r="R14" s="3"/>
      <c r="S14" s="34"/>
      <c r="T14" s="3"/>
      <c r="U14" s="34"/>
      <c r="V14" s="3"/>
      <c r="W14" s="34"/>
      <c r="X14" s="3"/>
      <c r="Y14" s="3"/>
      <c r="Z14" s="3"/>
      <c r="AA14" s="34"/>
      <c r="AB14" s="3"/>
      <c r="AC14" s="34"/>
      <c r="AD14" s="31" t="e">
        <f t="shared" si="4"/>
        <v>#DIV/0!</v>
      </c>
    </row>
    <row r="15" ht="12.75" customHeight="1" spans="1:30" x14ac:dyDescent="0.25">
      <c r="A15" s="27" t="s">
        <v>32</v>
      </c>
      <c r="B15" s="27"/>
      <c r="C15" s="32" t="s">
        <v>33</v>
      </c>
      <c r="D15" s="31"/>
      <c r="E15" s="29">
        <f t="shared" si="1"/>
        <v>0</v>
      </c>
      <c r="F15" s="30"/>
      <c r="G15" s="34"/>
      <c r="H15" s="30"/>
      <c r="I15" s="34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1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3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0"/>
      <c r="D17" s="31" t="e">
        <f t="shared" ref="D17:D28" si="6">E17/$E$5</f>
        <v>#DIV/0!</v>
      </c>
      <c r="E17" s="29">
        <f t="shared" si="1"/>
        <v>0</v>
      </c>
      <c r="F17" s="30">
        <v>-50928</v>
      </c>
      <c r="G17" s="30">
        <f t="shared" ref="G17:U17" si="7">SUBTOTAL(9,G18:G22)</f>
        <v>0</v>
      </c>
      <c r="H17" s="30">
        <f t="shared" si="7"/>
        <v>0</v>
      </c>
      <c r="I17" s="30">
        <f t="shared" si="7"/>
        <v>0</v>
      </c>
      <c r="J17" s="30">
        <f t="shared" si="7"/>
        <v>0</v>
      </c>
      <c r="K17" s="30">
        <f t="shared" si="7"/>
        <v>0</v>
      </c>
      <c r="L17" s="30">
        <f t="shared" si="7"/>
        <v>0</v>
      </c>
      <c r="M17" s="30">
        <f t="shared" si="7"/>
        <v>0</v>
      </c>
      <c r="N17" s="30">
        <f t="shared" si="7"/>
        <v>0</v>
      </c>
      <c r="O17" s="30">
        <f t="shared" si="7"/>
        <v>0</v>
      </c>
      <c r="P17" s="30">
        <f t="shared" si="7"/>
        <v>0</v>
      </c>
      <c r="Q17" s="30">
        <f t="shared" si="7"/>
        <v>0</v>
      </c>
      <c r="R17" s="30">
        <f t="shared" si="7"/>
        <v>0</v>
      </c>
      <c r="S17" s="30">
        <f t="shared" si="7"/>
        <v>0</v>
      </c>
      <c r="T17" s="30">
        <f t="shared" si="7"/>
        <v>0</v>
      </c>
      <c r="U17" s="30">
        <f t="shared" si="7"/>
        <v>0</v>
      </c>
      <c r="V17" s="3" t="e">
        <f>W17/$W$6</f>
        <v>#DIV/0!</v>
      </c>
      <c r="W17" s="30">
        <f t="shared" ref="W17:Y17" si="8">SUBTOTAL(9,W18:W22)</f>
        <v>0</v>
      </c>
      <c r="X17" s="30">
        <f t="shared" si="8"/>
        <v>0</v>
      </c>
      <c r="Y17" s="30">
        <f t="shared" si="8"/>
        <v>0</v>
      </c>
      <c r="Z17" s="3" t="e">
        <f>AA17/$AA$6</f>
        <v>#DIV/0!</v>
      </c>
      <c r="AA17" s="30">
        <f t="shared" ref="AA17:AC17" si="9">SUBTOTAL(9,AA18:AA22)</f>
        <v>0</v>
      </c>
      <c r="AB17" s="30">
        <f t="shared" si="9"/>
        <v>0</v>
      </c>
      <c r="AC17" s="30">
        <f t="shared" si="9"/>
        <v>0</v>
      </c>
      <c r="AD17" s="31" t="e">
        <f t="shared" ref="AD17:AD62" si="10">E17/$E$5</f>
        <v>#DIV/0!</v>
      </c>
    </row>
    <row r="18" ht="12.75" customHeight="1" spans="2:30" x14ac:dyDescent="0.25" outlineLevel="1" collapsed="1">
      <c r="B18" s="42"/>
      <c r="C18" s="32" t="s">
        <v>36</v>
      </c>
      <c r="D18" s="35" t="e">
        <f t="shared" si="6"/>
        <v>#DIV/0!</v>
      </c>
      <c r="E18" s="33">
        <f t="shared" si="1"/>
        <v>0</v>
      </c>
      <c r="F18" s="3"/>
      <c r="G18" s="34"/>
      <c r="H18" s="3"/>
      <c r="I18" s="34"/>
      <c r="J18" s="3"/>
      <c r="K18" s="34"/>
      <c r="L18" s="3"/>
      <c r="M18" s="34"/>
      <c r="N18" s="3"/>
      <c r="O18" s="34"/>
      <c r="P18" s="3"/>
      <c r="Q18" s="34"/>
      <c r="R18" s="3"/>
      <c r="S18" s="34"/>
      <c r="T18" s="3"/>
      <c r="U18" s="34"/>
      <c r="V18" s="3"/>
      <c r="W18" s="34"/>
      <c r="X18" s="3"/>
      <c r="Y18" s="34"/>
      <c r="Z18" s="3"/>
      <c r="AA18" s="34"/>
      <c r="AB18" s="30"/>
      <c r="AC18" s="34"/>
      <c r="AD18" s="35" t="e">
        <f t="shared" si="10"/>
        <v>#DIV/0!</v>
      </c>
    </row>
    <row r="19" ht="12.75" customHeight="1" spans="2:30" x14ac:dyDescent="0.25" outlineLevel="1" collapsed="1">
      <c r="B19" s="32"/>
      <c r="C19" s="32" t="s">
        <v>37</v>
      </c>
      <c r="D19" s="35" t="e">
        <f t="shared" si="6"/>
        <v>#DIV/0!</v>
      </c>
      <c r="E19" s="33">
        <f t="shared" si="1"/>
        <v>0</v>
      </c>
      <c r="F19" s="3"/>
      <c r="G19" s="34"/>
      <c r="H19" s="3"/>
      <c r="I19" s="34"/>
      <c r="J19" s="3"/>
      <c r="K19" s="34"/>
      <c r="L19" s="3"/>
      <c r="M19" s="34"/>
      <c r="N19" s="3"/>
      <c r="O19" s="34"/>
      <c r="P19" s="3"/>
      <c r="Q19" s="34"/>
      <c r="R19" s="34"/>
      <c r="S19" s="34"/>
      <c r="T19" s="3"/>
      <c r="U19" s="34"/>
      <c r="V19" s="3"/>
      <c r="W19" s="34"/>
      <c r="X19" s="3"/>
      <c r="Y19" s="34"/>
      <c r="Z19" s="3"/>
      <c r="AA19" s="34"/>
      <c r="AB19" s="30"/>
      <c r="AC19" s="34"/>
      <c r="AD19" s="35" t="e">
        <f t="shared" si="10"/>
        <v>#DIV/0!</v>
      </c>
    </row>
    <row r="20" ht="12.75" customHeight="1" spans="2:30" x14ac:dyDescent="0.25" outlineLevel="1" collapsed="1">
      <c r="B20" s="32"/>
      <c r="C20" s="32" t="s">
        <v>38</v>
      </c>
      <c r="D20" s="35" t="e">
        <f t="shared" si="6"/>
        <v>#DIV/0!</v>
      </c>
      <c r="E20" s="33">
        <f t="shared" si="1"/>
        <v>0</v>
      </c>
      <c r="F20" s="3"/>
      <c r="G20" s="34"/>
      <c r="H20" s="3"/>
      <c r="I20" s="34"/>
      <c r="J20" s="3"/>
      <c r="K20" s="34"/>
      <c r="L20" s="3"/>
      <c r="M20" s="34"/>
      <c r="N20" s="3"/>
      <c r="O20" s="34"/>
      <c r="P20" s="3"/>
      <c r="Q20" s="34"/>
      <c r="R20" s="34"/>
      <c r="S20" s="34"/>
      <c r="T20" s="3"/>
      <c r="U20" s="34"/>
      <c r="V20" s="3"/>
      <c r="W20" s="34"/>
      <c r="X20" s="3"/>
      <c r="Y20" s="34"/>
      <c r="Z20" s="3"/>
      <c r="AA20" s="34"/>
      <c r="AB20" s="30"/>
      <c r="AC20" s="34"/>
      <c r="AD20" s="35" t="e">
        <f t="shared" si="10"/>
        <v>#DIV/0!</v>
      </c>
    </row>
    <row r="21" ht="12.75" customHeight="1" spans="2:30" x14ac:dyDescent="0.25" outlineLevel="1" collapsed="1">
      <c r="B21" s="32"/>
      <c r="C21" s="32" t="s">
        <v>39</v>
      </c>
      <c r="D21" s="35" t="e">
        <f t="shared" si="6"/>
        <v>#DIV/0!</v>
      </c>
      <c r="E21" s="33">
        <f t="shared" si="1"/>
        <v>0</v>
      </c>
      <c r="F21" s="3">
        <v>0</v>
      </c>
      <c r="G21" s="34"/>
      <c r="H21" s="3"/>
      <c r="I21" s="34"/>
      <c r="J21" s="3"/>
      <c r="K21" s="34"/>
      <c r="L21" s="3"/>
      <c r="M21" s="34"/>
      <c r="N21" s="3"/>
      <c r="O21" s="43"/>
      <c r="P21" s="3"/>
      <c r="Q21" s="34"/>
      <c r="R21" s="3"/>
      <c r="S21" s="34"/>
      <c r="T21" s="3"/>
      <c r="U21" s="34"/>
      <c r="V21" s="3"/>
      <c r="W21" s="34"/>
      <c r="X21" s="3"/>
      <c r="Y21" s="34"/>
      <c r="Z21" s="3"/>
      <c r="AA21" s="34"/>
      <c r="AB21" s="30"/>
      <c r="AC21" s="34"/>
      <c r="AD21" s="35" t="e">
        <f t="shared" si="10"/>
        <v>#DIV/0!</v>
      </c>
    </row>
    <row r="22" ht="12.75" customHeight="1" spans="2:30" x14ac:dyDescent="0.25" outlineLevel="1" collapsed="1">
      <c r="B22" s="42"/>
      <c r="C22" s="32" t="s">
        <v>40</v>
      </c>
      <c r="D22" s="35" t="e">
        <f t="shared" si="6"/>
        <v>#DIV/0!</v>
      </c>
      <c r="E22" s="33">
        <f t="shared" si="1"/>
        <v>0</v>
      </c>
      <c r="F22" s="3"/>
      <c r="G22" s="34"/>
      <c r="H22" s="3"/>
      <c r="I22" s="34"/>
      <c r="J22" s="3"/>
      <c r="K22" s="34"/>
      <c r="L22" s="3"/>
      <c r="M22" s="34"/>
      <c r="N22" s="3"/>
      <c r="O22" s="43"/>
      <c r="P22" s="3"/>
      <c r="Q22" s="34"/>
      <c r="R22" s="3"/>
      <c r="S22" s="34"/>
      <c r="T22" s="3"/>
      <c r="U22" s="34"/>
      <c r="V22" s="3"/>
      <c r="W22" s="34"/>
      <c r="X22" s="3"/>
      <c r="Y22" s="34"/>
      <c r="Z22" s="3"/>
      <c r="AA22" s="34"/>
      <c r="AB22" s="30"/>
      <c r="AC22" s="34"/>
      <c r="AD22" s="35" t="e">
        <f t="shared" si="10"/>
        <v>#DIV/0!</v>
      </c>
    </row>
    <row r="23" ht="12.75" customHeight="1" spans="2:30" x14ac:dyDescent="0.25">
      <c r="B23" s="44" t="s">
        <v>41</v>
      </c>
      <c r="C23" s="45"/>
      <c r="D23" s="31" t="e">
        <f t="shared" si="6"/>
        <v>#DIV/0!</v>
      </c>
      <c r="E23" s="29">
        <f t="shared" si="1"/>
        <v>0</v>
      </c>
      <c r="F23" s="30">
        <v>-591650</v>
      </c>
      <c r="G23" s="30">
        <f t="shared" ref="G23:J23" si="11">SUBTOTAL(9,G24:G26)</f>
        <v>0</v>
      </c>
      <c r="H23" s="30">
        <f t="shared" si="11"/>
        <v>0</v>
      </c>
      <c r="I23" s="30">
        <f t="shared" si="11"/>
        <v>0</v>
      </c>
      <c r="J23" s="30">
        <f t="shared" si="11"/>
        <v>0</v>
      </c>
      <c r="K23" s="30">
        <f>SUBTOTAL(9,K24:K27)</f>
        <v>0</v>
      </c>
      <c r="L23" s="30">
        <f t="shared" ref="L23:N23" si="12">SUBTOTAL(9,L24:L26)</f>
        <v>0</v>
      </c>
      <c r="M23" s="30">
        <f t="shared" si="12"/>
        <v>0</v>
      </c>
      <c r="N23" s="30">
        <f t="shared" si="12"/>
        <v>0</v>
      </c>
      <c r="O23" s="30">
        <f t="shared" ref="O23:S23" si="13">SUBTOTAL(9,O24:O27)</f>
        <v>0</v>
      </c>
      <c r="P23" s="30">
        <f t="shared" si="13"/>
        <v>0</v>
      </c>
      <c r="Q23" s="30">
        <f t="shared" si="13"/>
        <v>0</v>
      </c>
      <c r="R23" s="30">
        <f t="shared" si="13"/>
        <v>0</v>
      </c>
      <c r="S23" s="30">
        <f t="shared" si="13"/>
        <v>0</v>
      </c>
      <c r="T23" s="30">
        <f t="shared" ref="T23:U23" si="14">SUBTOTAL(9,T24:T26)</f>
        <v>0</v>
      </c>
      <c r="U23" s="30">
        <f t="shared" si="14"/>
        <v>0</v>
      </c>
      <c r="V23" s="30" t="e">
        <f>W23/$W$6</f>
        <v>#DIV/0!</v>
      </c>
      <c r="W23" s="30">
        <f t="shared" ref="W23:Y23" si="15">SUBTOTAL(9,W24:W26)</f>
        <v>0</v>
      </c>
      <c r="X23" s="30">
        <f t="shared" si="15"/>
        <v>0</v>
      </c>
      <c r="Y23" s="30">
        <f t="shared" si="15"/>
        <v>0</v>
      </c>
      <c r="Z23" s="30" t="e">
        <f>AA23/$AA$6</f>
        <v>#DIV/0!</v>
      </c>
      <c r="AA23" s="30">
        <f t="shared" ref="AA23:AC23" si="16">SUBTOTAL(9,AA24:AA26)</f>
        <v>0</v>
      </c>
      <c r="AB23" s="30">
        <f t="shared" si="16"/>
        <v>0</v>
      </c>
      <c r="AC23" s="30">
        <f t="shared" si="16"/>
        <v>0</v>
      </c>
      <c r="AD23" s="31" t="e">
        <f t="shared" si="10"/>
        <v>#DIV/0!</v>
      </c>
    </row>
    <row r="24" ht="12.75" customHeight="1" spans="1:30" x14ac:dyDescent="0.25" outlineLevel="1" collapsed="1">
      <c r="A24" s="32" t="s">
        <v>42</v>
      </c>
      <c r="B24" s="42"/>
      <c r="C24" s="45" t="s">
        <v>43</v>
      </c>
      <c r="D24" s="35" t="e">
        <f t="shared" si="6"/>
        <v>#DIV/0!</v>
      </c>
      <c r="E24" s="33">
        <f t="shared" si="1"/>
        <v>0</v>
      </c>
      <c r="F24" s="3"/>
      <c r="G24" s="34"/>
      <c r="H24" s="3"/>
      <c r="I24" s="34"/>
      <c r="J24" s="3"/>
      <c r="K24" s="34"/>
      <c r="L24" s="3"/>
      <c r="M24" s="34"/>
      <c r="N24" s="3"/>
      <c r="O24" s="43"/>
      <c r="P24" s="3"/>
      <c r="Q24" s="34"/>
      <c r="R24" s="3"/>
      <c r="S24" s="34"/>
      <c r="T24" s="3"/>
      <c r="U24" s="34"/>
      <c r="V24" s="3"/>
      <c r="W24" s="34"/>
      <c r="X24" s="3"/>
      <c r="Y24" s="34"/>
      <c r="Z24" s="3"/>
      <c r="AA24" s="34"/>
      <c r="AB24" s="30"/>
      <c r="AC24" s="34"/>
      <c r="AD24" s="35" t="e">
        <f t="shared" si="10"/>
        <v>#DIV/0!</v>
      </c>
    </row>
    <row r="25" ht="12.75" customHeight="1" spans="2:30" x14ac:dyDescent="0.25" outlineLevel="1" collapsed="1">
      <c r="B25" s="42"/>
      <c r="C25" s="32" t="s">
        <v>44</v>
      </c>
      <c r="D25" s="35" t="e">
        <f t="shared" si="6"/>
        <v>#DIV/0!</v>
      </c>
      <c r="E25" s="33">
        <f t="shared" si="1"/>
        <v>0</v>
      </c>
      <c r="F25" s="3"/>
      <c r="G25" s="34"/>
      <c r="H25" s="3"/>
      <c r="I25" s="34"/>
      <c r="J25" s="3"/>
      <c r="K25" s="34"/>
      <c r="L25" s="3"/>
      <c r="M25" s="34"/>
      <c r="N25" s="3"/>
      <c r="O25" s="43"/>
      <c r="P25" s="3"/>
      <c r="Q25" s="34"/>
      <c r="R25" s="34"/>
      <c r="S25" s="34"/>
      <c r="T25" s="3"/>
      <c r="U25" s="34"/>
      <c r="V25" s="3"/>
      <c r="W25" s="34"/>
      <c r="X25" s="3"/>
      <c r="Y25" s="34"/>
      <c r="Z25" s="3"/>
      <c r="AA25" s="34"/>
      <c r="AB25" s="30"/>
      <c r="AC25" s="34"/>
      <c r="AD25" s="35" t="e">
        <f t="shared" si="10"/>
        <v>#DIV/0!</v>
      </c>
    </row>
    <row r="26" ht="12.75" customHeight="1" spans="2:30" x14ac:dyDescent="0.25" outlineLevel="1" collapsed="1">
      <c r="B26" s="42"/>
      <c r="C26" s="32" t="s">
        <v>45</v>
      </c>
      <c r="D26" s="35" t="e">
        <f t="shared" si="6"/>
        <v>#DIV/0!</v>
      </c>
      <c r="E26" s="33">
        <f t="shared" si="1"/>
        <v>0</v>
      </c>
      <c r="F26" s="3"/>
      <c r="G26" s="34"/>
      <c r="H26" s="3"/>
      <c r="I26" s="34"/>
      <c r="J26" s="3"/>
      <c r="K26" s="34"/>
      <c r="L26" s="3"/>
      <c r="M26" s="34"/>
      <c r="N26" s="3"/>
      <c r="O26" s="43"/>
      <c r="P26" s="3"/>
      <c r="Q26" s="34"/>
      <c r="R26" s="3"/>
      <c r="S26" s="34"/>
      <c r="T26" s="3"/>
      <c r="U26" s="34"/>
      <c r="V26" s="3"/>
      <c r="W26" s="34"/>
      <c r="X26" s="3"/>
      <c r="Y26" s="34"/>
      <c r="Z26" s="3"/>
      <c r="AA26" s="34"/>
      <c r="AB26" s="30"/>
      <c r="AC26" s="34"/>
      <c r="AD26" s="35" t="e">
        <f t="shared" si="10"/>
        <v>#DIV/0!</v>
      </c>
    </row>
    <row r="27" ht="12.75" customHeight="1" spans="2:30" x14ac:dyDescent="0.25" outlineLevel="1" collapsed="1">
      <c r="B27" s="46"/>
      <c r="C27" s="32" t="s">
        <v>46</v>
      </c>
      <c r="D27" s="35" t="e">
        <f t="shared" si="6"/>
        <v>#DIV/0!</v>
      </c>
      <c r="E27" s="33">
        <f t="shared" si="1"/>
        <v>0</v>
      </c>
      <c r="F27" s="3"/>
      <c r="G27" s="34"/>
      <c r="H27" s="3"/>
      <c r="I27" s="34"/>
      <c r="J27" s="3"/>
      <c r="K27" s="34"/>
      <c r="L27" s="3"/>
      <c r="M27" s="34"/>
      <c r="N27" s="3"/>
      <c r="O27" s="43"/>
      <c r="P27" s="3"/>
      <c r="Q27" s="34"/>
      <c r="R27" s="3"/>
      <c r="S27" s="34"/>
      <c r="T27" s="3"/>
      <c r="U27" s="34"/>
      <c r="V27" s="3"/>
      <c r="W27" s="34"/>
      <c r="X27" s="3"/>
      <c r="Y27" s="34"/>
      <c r="Z27" s="3"/>
      <c r="AA27" s="34"/>
      <c r="AB27" s="30"/>
      <c r="AC27" s="34"/>
      <c r="AD27" s="35" t="e">
        <f t="shared" si="10"/>
        <v>#DIV/0!</v>
      </c>
    </row>
    <row r="28" ht="12.75" customHeight="1" spans="2:30" x14ac:dyDescent="0.25">
      <c r="B28" s="47" t="s">
        <v>47</v>
      </c>
      <c r="C28" s="27"/>
      <c r="D28" s="35" t="e">
        <f t="shared" si="6"/>
        <v>#DIV/0!</v>
      </c>
      <c r="E28" s="29">
        <f t="shared" si="1"/>
        <v>0</v>
      </c>
      <c r="F28" s="30">
        <v>-1548</v>
      </c>
      <c r="G28" s="30">
        <f t="shared" ref="G28:U28" si="17">SUBTOTAL(9,G29:G30)</f>
        <v>0</v>
      </c>
      <c r="H28" s="30">
        <f t="shared" si="17"/>
        <v>0</v>
      </c>
      <c r="I28" s="30">
        <f t="shared" si="17"/>
        <v>0</v>
      </c>
      <c r="J28" s="30">
        <f t="shared" si="17"/>
        <v>0</v>
      </c>
      <c r="K28" s="30">
        <f t="shared" si="17"/>
        <v>0</v>
      </c>
      <c r="L28" s="30">
        <f t="shared" si="17"/>
        <v>0</v>
      </c>
      <c r="M28" s="30">
        <f t="shared" si="17"/>
        <v>0</v>
      </c>
      <c r="N28" s="30">
        <f t="shared" si="17"/>
        <v>0</v>
      </c>
      <c r="O28" s="30">
        <f t="shared" si="17"/>
        <v>0</v>
      </c>
      <c r="P28" s="30">
        <f t="shared" si="17"/>
        <v>0</v>
      </c>
      <c r="Q28" s="30">
        <f t="shared" si="17"/>
        <v>0</v>
      </c>
      <c r="R28" s="30">
        <f t="shared" si="17"/>
        <v>0</v>
      </c>
      <c r="S28" s="30">
        <f t="shared" si="17"/>
        <v>0</v>
      </c>
      <c r="T28" s="30">
        <f t="shared" si="17"/>
        <v>0</v>
      </c>
      <c r="U28" s="30">
        <f t="shared" si="17"/>
        <v>0</v>
      </c>
      <c r="V28" s="30" t="e">
        <f>W28/$W$6</f>
        <v>#DIV/0!</v>
      </c>
      <c r="W28" s="30">
        <f t="shared" ref="W28:Y28" si="18">SUBTOTAL(9,W29:W30)</f>
        <v>0</v>
      </c>
      <c r="X28" s="30">
        <f t="shared" si="18"/>
        <v>0</v>
      </c>
      <c r="Y28" s="30">
        <f t="shared" si="18"/>
        <v>0</v>
      </c>
      <c r="Z28" s="3" t="e">
        <f>AA28/$AA$6</f>
        <v>#DIV/0!</v>
      </c>
      <c r="AA28" s="30">
        <f t="shared" ref="AA28:AC28" si="19">SUBTOTAL(9,AA29:AA30)</f>
        <v>0</v>
      </c>
      <c r="AB28" s="30">
        <f t="shared" si="19"/>
        <v>0</v>
      </c>
      <c r="AC28" s="30">
        <f t="shared" si="19"/>
        <v>0</v>
      </c>
      <c r="AD28" s="31" t="e">
        <f t="shared" si="10"/>
        <v>#DIV/0!</v>
      </c>
    </row>
    <row r="29" ht="12.75" customHeight="1" spans="2:30" x14ac:dyDescent="0.25" outlineLevel="1" collapsed="1">
      <c r="B29" s="42"/>
      <c r="C29" s="32" t="s">
        <v>48</v>
      </c>
      <c r="D29" s="35" t="e">
        <f t="shared" ref="D29:D30" si="20">E29/$E$6</f>
        <v>#DIV/0!</v>
      </c>
      <c r="E29" s="33">
        <f t="shared" si="1"/>
        <v>0</v>
      </c>
      <c r="F29" s="3"/>
      <c r="G29" s="34"/>
      <c r="H29" s="3"/>
      <c r="I29" s="34"/>
      <c r="J29" s="3"/>
      <c r="K29" s="34"/>
      <c r="L29" s="3"/>
      <c r="M29" s="34"/>
      <c r="N29" s="3"/>
      <c r="O29" s="43"/>
      <c r="P29" s="3"/>
      <c r="Q29" s="34"/>
      <c r="R29" s="3"/>
      <c r="S29" s="34"/>
      <c r="T29" s="3"/>
      <c r="U29" s="34"/>
      <c r="V29" s="3"/>
      <c r="W29" s="34"/>
      <c r="X29" s="3"/>
      <c r="Y29" s="34"/>
      <c r="Z29" s="3"/>
      <c r="AA29" s="34"/>
      <c r="AB29" s="30"/>
      <c r="AC29" s="34"/>
      <c r="AD29" s="35" t="e">
        <f t="shared" si="10"/>
        <v>#DIV/0!</v>
      </c>
    </row>
    <row r="30" ht="12.75" customHeight="1" spans="1:30" x14ac:dyDescent="0.25" outlineLevel="1" collapsed="1">
      <c r="A30" s="32"/>
      <c r="B30" s="42"/>
      <c r="C30" s="32" t="s">
        <v>49</v>
      </c>
      <c r="D30" s="35" t="e">
        <f t="shared" si="20"/>
        <v>#DIV/0!</v>
      </c>
      <c r="E30" s="33">
        <f t="shared" si="1"/>
        <v>0</v>
      </c>
      <c r="F30" s="3"/>
      <c r="G30" s="34"/>
      <c r="H30" s="3"/>
      <c r="I30" s="34"/>
      <c r="J30" s="3"/>
      <c r="K30" s="34"/>
      <c r="L30" s="3"/>
      <c r="M30" s="34"/>
      <c r="N30" s="3"/>
      <c r="O30" s="43"/>
      <c r="P30" s="3"/>
      <c r="Q30" s="34"/>
      <c r="R30" s="3"/>
      <c r="S30" s="34"/>
      <c r="T30" s="3"/>
      <c r="U30" s="34"/>
      <c r="V30" s="3"/>
      <c r="W30" s="34"/>
      <c r="X30" s="3"/>
      <c r="Y30" s="34"/>
      <c r="Z30" s="3"/>
      <c r="AA30" s="34"/>
      <c r="AB30" s="30"/>
      <c r="AC30" s="34"/>
      <c r="AD30" s="35" t="e">
        <f t="shared" si="10"/>
        <v>#DIV/0!</v>
      </c>
    </row>
    <row r="31" ht="12.75" customHeight="1" spans="1:30" x14ac:dyDescent="0.25">
      <c r="A31" s="32"/>
      <c r="B31" s="47" t="s">
        <v>50</v>
      </c>
      <c r="C31" s="48"/>
      <c r="D31" s="31" t="e">
        <f>E31/$E$5</f>
        <v>#DIV/0!</v>
      </c>
      <c r="E31" s="29">
        <f t="shared" si="1"/>
        <v>0</v>
      </c>
      <c r="F31" s="30"/>
      <c r="G31" s="30">
        <f t="shared" ref="G31:U31" si="21">SUBTOTAL(9,G32:G33)</f>
        <v>0</v>
      </c>
      <c r="H31" s="30">
        <f t="shared" si="21"/>
        <v>0</v>
      </c>
      <c r="I31" s="30">
        <f t="shared" si="21"/>
        <v>0</v>
      </c>
      <c r="J31" s="30">
        <f t="shared" si="21"/>
        <v>0</v>
      </c>
      <c r="K31" s="30">
        <f t="shared" si="21"/>
        <v>0</v>
      </c>
      <c r="L31" s="30">
        <f t="shared" si="21"/>
        <v>0</v>
      </c>
      <c r="M31" s="30">
        <f t="shared" si="21"/>
        <v>0</v>
      </c>
      <c r="N31" s="30">
        <f t="shared" si="21"/>
        <v>0</v>
      </c>
      <c r="O31" s="30">
        <f t="shared" si="21"/>
        <v>0</v>
      </c>
      <c r="P31" s="30">
        <f t="shared" si="21"/>
        <v>0</v>
      </c>
      <c r="Q31" s="30">
        <f t="shared" si="21"/>
        <v>0</v>
      </c>
      <c r="R31" s="30">
        <f t="shared" si="21"/>
        <v>0</v>
      </c>
      <c r="S31" s="30">
        <f t="shared" si="21"/>
        <v>0</v>
      </c>
      <c r="T31" s="30">
        <f t="shared" si="21"/>
        <v>0</v>
      </c>
      <c r="U31" s="30">
        <f t="shared" si="21"/>
        <v>0</v>
      </c>
      <c r="V31" s="30" t="e">
        <f>W31/$W$6</f>
        <v>#DIV/0!</v>
      </c>
      <c r="W31" s="30">
        <f t="shared" ref="W31:Y31" si="22">SUBTOTAL(9,W32:W33)</f>
        <v>0</v>
      </c>
      <c r="X31" s="30">
        <f t="shared" si="22"/>
        <v>0</v>
      </c>
      <c r="Y31" s="30">
        <f t="shared" si="22"/>
        <v>0</v>
      </c>
      <c r="Z31" s="30" t="e">
        <f>AA31/$AA$6</f>
        <v>#DIV/0!</v>
      </c>
      <c r="AA31" s="30">
        <f t="shared" ref="AA31:AC31" si="23">SUBTOTAL(9,AA32:AA33)</f>
        <v>0</v>
      </c>
      <c r="AB31" s="30">
        <f t="shared" si="23"/>
        <v>0</v>
      </c>
      <c r="AC31" s="30">
        <f t="shared" si="23"/>
        <v>0</v>
      </c>
      <c r="AD31" s="31" t="e">
        <f t="shared" si="10"/>
        <v>#DIV/0!</v>
      </c>
    </row>
    <row r="32" ht="12.75" customHeight="1" spans="1:30" x14ac:dyDescent="0.25" outlineLevel="1" collapsed="1">
      <c r="A32" s="32">
        <v>6421.2</v>
      </c>
      <c r="B32" s="42"/>
      <c r="C32" s="32" t="s">
        <v>51</v>
      </c>
      <c r="D32" s="35" t="e">
        <f t="shared" ref="D32:D33" si="24">E32/$E$6</f>
        <v>#DIV/0!</v>
      </c>
      <c r="E32" s="33">
        <f t="shared" si="1"/>
        <v>0</v>
      </c>
      <c r="F32" s="3"/>
      <c r="G32" s="34"/>
      <c r="H32" s="3"/>
      <c r="I32" s="34"/>
      <c r="J32" s="3"/>
      <c r="K32" s="34"/>
      <c r="L32" s="3"/>
      <c r="M32" s="34"/>
      <c r="N32" s="3"/>
      <c r="O32" s="43"/>
      <c r="P32" s="3"/>
      <c r="Q32" s="34"/>
      <c r="R32" s="3"/>
      <c r="S32" s="34"/>
      <c r="T32" s="3"/>
      <c r="U32" s="34"/>
      <c r="V32" s="3"/>
      <c r="W32" s="34"/>
      <c r="X32" s="3"/>
      <c r="Y32" s="34"/>
      <c r="Z32" s="3"/>
      <c r="AA32" s="34"/>
      <c r="AB32" s="30"/>
      <c r="AC32" s="34"/>
      <c r="AD32" s="35" t="e">
        <f t="shared" si="10"/>
        <v>#DIV/0!</v>
      </c>
    </row>
    <row r="33" ht="12.75" customHeight="1" spans="1:30" x14ac:dyDescent="0.25" outlineLevel="1" collapsed="1">
      <c r="A33" s="27"/>
      <c r="B33" s="42"/>
      <c r="C33" s="32" t="s">
        <v>52</v>
      </c>
      <c r="D33" s="35" t="e">
        <f t="shared" si="24"/>
        <v>#DIV/0!</v>
      </c>
      <c r="E33" s="33">
        <f t="shared" si="1"/>
        <v>0</v>
      </c>
      <c r="F33" s="3"/>
      <c r="G33" s="34"/>
      <c r="H33" s="3"/>
      <c r="I33" s="34"/>
      <c r="J33" s="3"/>
      <c r="K33" s="34"/>
      <c r="L33" s="3"/>
      <c r="M33" s="34"/>
      <c r="N33" s="3"/>
      <c r="O33" s="43"/>
      <c r="P33" s="3"/>
      <c r="Q33" s="34"/>
      <c r="R33" s="3"/>
      <c r="S33" s="34"/>
      <c r="T33" s="3"/>
      <c r="U33" s="34"/>
      <c r="V33" s="3"/>
      <c r="W33" s="34"/>
      <c r="X33" s="3"/>
      <c r="Y33" s="34"/>
      <c r="Z33" s="3"/>
      <c r="AA33" s="34"/>
      <c r="AB33" s="30"/>
      <c r="AC33" s="34"/>
      <c r="AD33" s="35" t="e">
        <f t="shared" si="10"/>
        <v>#DIV/0!</v>
      </c>
    </row>
    <row r="34" ht="12.75" customHeight="1" spans="1:30" x14ac:dyDescent="0.25">
      <c r="A34" s="27"/>
      <c r="B34" s="47" t="s">
        <v>53</v>
      </c>
      <c r="C34" s="27"/>
      <c r="D34" s="31" t="e">
        <f t="shared" ref="D34:D35" si="25">E34/$E$5-0.3%</f>
        <v>#DIV/0!</v>
      </c>
      <c r="E34" s="29">
        <f t="shared" si="1"/>
        <v>0</v>
      </c>
      <c r="F34" s="30"/>
      <c r="G34" s="30">
        <f t="shared" ref="G34:U34" si="26">SUBTOTAL(9,G35:G36)</f>
        <v>0</v>
      </c>
      <c r="H34" s="30">
        <f t="shared" si="26"/>
        <v>0</v>
      </c>
      <c r="I34" s="30">
        <f t="shared" si="26"/>
        <v>0</v>
      </c>
      <c r="J34" s="30">
        <f t="shared" si="26"/>
        <v>0</v>
      </c>
      <c r="K34" s="30">
        <f t="shared" si="26"/>
        <v>0</v>
      </c>
      <c r="L34" s="30">
        <f t="shared" si="26"/>
        <v>0</v>
      </c>
      <c r="M34" s="30">
        <f t="shared" si="26"/>
        <v>0</v>
      </c>
      <c r="N34" s="30">
        <f t="shared" si="26"/>
        <v>0</v>
      </c>
      <c r="O34" s="30">
        <f t="shared" si="26"/>
        <v>0</v>
      </c>
      <c r="P34" s="30">
        <f t="shared" si="26"/>
        <v>0</v>
      </c>
      <c r="Q34" s="30">
        <f t="shared" si="26"/>
        <v>0</v>
      </c>
      <c r="R34" s="30">
        <f t="shared" si="26"/>
        <v>0</v>
      </c>
      <c r="S34" s="30">
        <f t="shared" si="26"/>
        <v>0</v>
      </c>
      <c r="T34" s="30">
        <f t="shared" si="26"/>
        <v>0</v>
      </c>
      <c r="U34" s="30">
        <f t="shared" si="26"/>
        <v>0</v>
      </c>
      <c r="V34" s="30" t="e">
        <f>W34/$W$6</f>
        <v>#DIV/0!</v>
      </c>
      <c r="W34" s="30">
        <f t="shared" ref="W34:Y34" si="27">SUBTOTAL(9,W35:W36)</f>
        <v>0</v>
      </c>
      <c r="X34" s="30">
        <f t="shared" si="27"/>
        <v>0</v>
      </c>
      <c r="Y34" s="30">
        <f t="shared" si="27"/>
        <v>0</v>
      </c>
      <c r="Z34" s="30" t="e">
        <f>AA34/$AA$6</f>
        <v>#DIV/0!</v>
      </c>
      <c r="AA34" s="30">
        <f t="shared" ref="AA34:AC34" si="28">SUBTOTAL(9,AA35:AA36)</f>
        <v>0</v>
      </c>
      <c r="AB34" s="30">
        <f t="shared" si="28"/>
        <v>0</v>
      </c>
      <c r="AC34" s="30">
        <f t="shared" si="28"/>
        <v>0</v>
      </c>
      <c r="AD34" s="31" t="e">
        <f t="shared" si="10"/>
        <v>#DIV/0!</v>
      </c>
    </row>
    <row r="35" ht="12.75" customHeight="1" spans="1:30" x14ac:dyDescent="0.25" outlineLevel="1" collapsed="1">
      <c r="A35" s="32">
        <v>6422.6</v>
      </c>
      <c r="B35" s="42"/>
      <c r="C35" s="32" t="s">
        <v>54</v>
      </c>
      <c r="D35" s="35" t="e">
        <f t="shared" si="25"/>
        <v>#DIV/0!</v>
      </c>
      <c r="E35" s="33">
        <f t="shared" si="1"/>
        <v>0</v>
      </c>
      <c r="F35" s="3"/>
      <c r="G35" s="34"/>
      <c r="H35" s="3"/>
      <c r="I35" s="34"/>
      <c r="J35" s="3"/>
      <c r="K35" s="34"/>
      <c r="L35" s="3"/>
      <c r="M35" s="34"/>
      <c r="N35" s="3"/>
      <c r="O35" s="43"/>
      <c r="P35" s="3"/>
      <c r="Q35" s="34"/>
      <c r="R35" s="3"/>
      <c r="S35" s="34"/>
      <c r="T35" s="3"/>
      <c r="U35" s="34"/>
      <c r="V35" s="3"/>
      <c r="W35" s="34"/>
      <c r="X35" s="3"/>
      <c r="Y35" s="34"/>
      <c r="Z35" s="3"/>
      <c r="AA35" s="34"/>
      <c r="AB35" s="30"/>
      <c r="AC35" s="34"/>
      <c r="AD35" s="35" t="e">
        <f t="shared" si="10"/>
        <v>#DIV/0!</v>
      </c>
    </row>
    <row r="36" ht="12.75" customHeight="1" spans="1:30" x14ac:dyDescent="0.25" outlineLevel="1" collapsed="1">
      <c r="A36" s="27"/>
      <c r="B36" s="42"/>
      <c r="C36" s="32" t="s">
        <v>55</v>
      </c>
      <c r="D36" s="35" t="e">
        <f t="shared" ref="D36:D44" si="29">E36/$E$5</f>
        <v>#DIV/0!</v>
      </c>
      <c r="E36" s="33">
        <f t="shared" si="1"/>
        <v>0</v>
      </c>
      <c r="F36" s="3"/>
      <c r="G36" s="34"/>
      <c r="H36" s="3"/>
      <c r="I36" s="34"/>
      <c r="J36" s="3"/>
      <c r="K36" s="34"/>
      <c r="L36" s="3"/>
      <c r="M36" s="34"/>
      <c r="N36" s="3"/>
      <c r="O36" s="43"/>
      <c r="P36" s="3"/>
      <c r="Q36" s="34"/>
      <c r="R36" s="34"/>
      <c r="S36" s="34"/>
      <c r="T36" s="3"/>
      <c r="U36" s="34"/>
      <c r="V36" s="3"/>
      <c r="W36" s="34"/>
      <c r="X36" s="3"/>
      <c r="Y36" s="34"/>
      <c r="Z36" s="3"/>
      <c r="AA36" s="34"/>
      <c r="AB36" s="30"/>
      <c r="AC36" s="34"/>
      <c r="AD36" s="35" t="e">
        <f t="shared" si="10"/>
        <v>#DIV/0!</v>
      </c>
    </row>
    <row r="37" ht="12.75" customHeight="1" spans="1:30" x14ac:dyDescent="0.25">
      <c r="A37" s="27"/>
      <c r="B37" s="47" t="s">
        <v>56</v>
      </c>
      <c r="C37" s="27"/>
      <c r="D37" s="31" t="e">
        <f t="shared" si="29"/>
        <v>#DIV/0!</v>
      </c>
      <c r="E37" s="29">
        <f t="shared" si="1"/>
        <v>0</v>
      </c>
      <c r="F37" s="30">
        <v>-5558</v>
      </c>
      <c r="G37" s="30">
        <f t="shared" ref="G37:U37" si="30">SUBTOTAL(9,G38:G43)</f>
        <v>0</v>
      </c>
      <c r="H37" s="30">
        <f t="shared" si="30"/>
        <v>0</v>
      </c>
      <c r="I37" s="30">
        <f t="shared" si="30"/>
        <v>0</v>
      </c>
      <c r="J37" s="30">
        <f t="shared" si="30"/>
        <v>0</v>
      </c>
      <c r="K37" s="30">
        <f t="shared" si="30"/>
        <v>0</v>
      </c>
      <c r="L37" s="30">
        <f t="shared" si="30"/>
        <v>0</v>
      </c>
      <c r="M37" s="30">
        <f t="shared" si="30"/>
        <v>0</v>
      </c>
      <c r="N37" s="30">
        <f t="shared" si="30"/>
        <v>0</v>
      </c>
      <c r="O37" s="30">
        <f t="shared" si="30"/>
        <v>0</v>
      </c>
      <c r="P37" s="30">
        <f t="shared" si="30"/>
        <v>0</v>
      </c>
      <c r="Q37" s="30">
        <f t="shared" si="30"/>
        <v>0</v>
      </c>
      <c r="R37" s="30">
        <f t="shared" si="30"/>
        <v>0</v>
      </c>
      <c r="S37" s="30">
        <f t="shared" si="30"/>
        <v>0</v>
      </c>
      <c r="T37" s="30">
        <f t="shared" si="30"/>
        <v>0</v>
      </c>
      <c r="U37" s="30">
        <f t="shared" si="30"/>
        <v>0</v>
      </c>
      <c r="V37" s="30" t="e">
        <f>W37/$W$6</f>
        <v>#DIV/0!</v>
      </c>
      <c r="W37" s="30">
        <f t="shared" ref="W37:Y37" si="31">SUBTOTAL(9,W38:W43)</f>
        <v>0</v>
      </c>
      <c r="X37" s="30">
        <f t="shared" si="31"/>
        <v>0</v>
      </c>
      <c r="Y37" s="30">
        <f t="shared" si="31"/>
        <v>0</v>
      </c>
      <c r="Z37" s="30" t="e">
        <f>AA37/$AA$6</f>
        <v>#DIV/0!</v>
      </c>
      <c r="AA37" s="30">
        <f t="shared" ref="AA37:AC37" si="32">SUBTOTAL(9,AA38:AA43)</f>
        <v>0</v>
      </c>
      <c r="AB37" s="30">
        <f t="shared" si="32"/>
        <v>0</v>
      </c>
      <c r="AC37" s="30">
        <f t="shared" si="32"/>
        <v>0</v>
      </c>
      <c r="AD37" s="31" t="e">
        <f t="shared" si="10"/>
        <v>#DIV/0!</v>
      </c>
    </row>
    <row r="38" ht="12.75" customHeight="1" spans="1:30" x14ac:dyDescent="0.25" outlineLevel="1" collapsed="1">
      <c r="A38" s="32">
        <v>6421.3</v>
      </c>
      <c r="B38" s="42"/>
      <c r="C38" s="32" t="s">
        <v>57</v>
      </c>
      <c r="D38" s="35" t="e">
        <f t="shared" si="29"/>
        <v>#DIV/0!</v>
      </c>
      <c r="E38" s="33">
        <f t="shared" si="1"/>
        <v>0</v>
      </c>
      <c r="F38" s="3"/>
      <c r="G38" s="34"/>
      <c r="H38" s="3"/>
      <c r="I38" s="34"/>
      <c r="J38" s="3"/>
      <c r="K38" s="34"/>
      <c r="L38" s="3"/>
      <c r="M38" s="34"/>
      <c r="N38" s="3"/>
      <c r="O38" s="43"/>
      <c r="P38" s="3"/>
      <c r="Q38" s="34"/>
      <c r="R38" s="3"/>
      <c r="S38" s="34"/>
      <c r="T38" s="3"/>
      <c r="U38" s="34"/>
      <c r="V38" s="3"/>
      <c r="W38" s="34"/>
      <c r="X38" s="3"/>
      <c r="Y38" s="34"/>
      <c r="Z38" s="3"/>
      <c r="AA38" s="34"/>
      <c r="AB38" s="30"/>
      <c r="AC38" s="34"/>
      <c r="AD38" s="35" t="e">
        <f t="shared" si="10"/>
        <v>#DIV/0!</v>
      </c>
    </row>
    <row r="39" ht="12.75" customHeight="1" spans="1:30" x14ac:dyDescent="0.25" outlineLevel="1" collapsed="1">
      <c r="A39" s="32">
        <v>6421.4</v>
      </c>
      <c r="B39" s="42"/>
      <c r="C39" s="32" t="s">
        <v>58</v>
      </c>
      <c r="D39" s="35" t="e">
        <f t="shared" si="29"/>
        <v>#DIV/0!</v>
      </c>
      <c r="E39" s="33">
        <f t="shared" si="1"/>
        <v>0</v>
      </c>
      <c r="F39" s="3"/>
      <c r="G39" s="34"/>
      <c r="H39" s="3"/>
      <c r="I39" s="34"/>
      <c r="J39" s="3"/>
      <c r="K39" s="34"/>
      <c r="L39" s="3"/>
      <c r="M39" s="34"/>
      <c r="N39" s="3"/>
      <c r="O39" s="43"/>
      <c r="P39" s="43"/>
      <c r="Q39" s="43"/>
      <c r="R39" s="43"/>
      <c r="S39" s="43"/>
      <c r="T39" s="43"/>
      <c r="U39" s="43"/>
      <c r="V39" s="3"/>
      <c r="W39" s="34"/>
      <c r="X39" s="3"/>
      <c r="Y39" s="34"/>
      <c r="Z39" s="3"/>
      <c r="AA39" s="34"/>
      <c r="AB39" s="30"/>
      <c r="AC39" s="34"/>
      <c r="AD39" s="35" t="e">
        <f t="shared" si="10"/>
        <v>#DIV/0!</v>
      </c>
    </row>
    <row r="40" ht="12.75" customHeight="1" spans="1:30" x14ac:dyDescent="0.25" outlineLevel="1" collapsed="1">
      <c r="A40" s="32">
        <v>6421.5</v>
      </c>
      <c r="B40" s="42"/>
      <c r="C40" s="32" t="s">
        <v>59</v>
      </c>
      <c r="D40" s="35" t="e">
        <f t="shared" si="29"/>
        <v>#DIV/0!</v>
      </c>
      <c r="E40" s="33">
        <f t="shared" si="1"/>
        <v>0</v>
      </c>
      <c r="F40" s="3"/>
      <c r="G40" s="34"/>
      <c r="H40" s="3"/>
      <c r="I40" s="34"/>
      <c r="J40" s="3"/>
      <c r="K40" s="34"/>
      <c r="L40" s="3"/>
      <c r="M40" s="34"/>
      <c r="N40" s="3"/>
      <c r="O40" s="43"/>
      <c r="P40" s="3"/>
      <c r="Q40" s="34"/>
      <c r="R40" s="3"/>
      <c r="S40" s="34"/>
      <c r="T40" s="3"/>
      <c r="U40" s="43"/>
      <c r="V40" s="3"/>
      <c r="W40" s="34"/>
      <c r="X40" s="3"/>
      <c r="Y40" s="34"/>
      <c r="Z40" s="3"/>
      <c r="AA40" s="34"/>
      <c r="AB40" s="30"/>
      <c r="AC40" s="34"/>
      <c r="AD40" s="35" t="e">
        <f t="shared" si="10"/>
        <v>#DIV/0!</v>
      </c>
    </row>
    <row r="41" ht="12.75" customHeight="1" spans="1:30" x14ac:dyDescent="0.25" outlineLevel="1" collapsed="1">
      <c r="A41" s="32">
        <v>6421.6</v>
      </c>
      <c r="B41" s="42"/>
      <c r="C41" s="32" t="s">
        <v>60</v>
      </c>
      <c r="D41" s="35" t="e">
        <f t="shared" si="29"/>
        <v>#DIV/0!</v>
      </c>
      <c r="E41" s="33">
        <f t="shared" si="1"/>
        <v>0</v>
      </c>
      <c r="F41" s="3"/>
      <c r="G41" s="34"/>
      <c r="H41" s="3"/>
      <c r="I41" s="34"/>
      <c r="J41" s="3"/>
      <c r="K41" s="34"/>
      <c r="L41" s="3"/>
      <c r="M41" s="34"/>
      <c r="N41" s="3"/>
      <c r="O41" s="43"/>
      <c r="P41" s="3"/>
      <c r="Q41" s="34"/>
      <c r="R41" s="3"/>
      <c r="S41" s="34"/>
      <c r="T41" s="3"/>
      <c r="U41" s="43"/>
      <c r="V41" s="3"/>
      <c r="W41" s="34"/>
      <c r="X41" s="3"/>
      <c r="Y41" s="34"/>
      <c r="Z41" s="30"/>
      <c r="AA41" s="34"/>
      <c r="AB41" s="30"/>
      <c r="AC41" s="34"/>
      <c r="AD41" s="35" t="e">
        <f t="shared" si="10"/>
        <v>#DIV/0!</v>
      </c>
    </row>
    <row r="42" ht="12.75" customHeight="1" spans="1:30" x14ac:dyDescent="0.25" outlineLevel="1" collapsed="1">
      <c r="A42" s="32">
        <v>6421.7</v>
      </c>
      <c r="B42" s="42"/>
      <c r="C42" s="32" t="s">
        <v>61</v>
      </c>
      <c r="D42" s="35" t="e">
        <f t="shared" si="29"/>
        <v>#DIV/0!</v>
      </c>
      <c r="E42" s="33">
        <f t="shared" si="1"/>
        <v>0</v>
      </c>
      <c r="F42" s="3"/>
      <c r="G42" s="34"/>
      <c r="H42" s="3"/>
      <c r="I42" s="34"/>
      <c r="J42" s="3"/>
      <c r="K42" s="34"/>
      <c r="L42" s="3"/>
      <c r="M42" s="34"/>
      <c r="N42" s="3"/>
      <c r="O42" s="43"/>
      <c r="P42" s="3"/>
      <c r="Q42" s="34"/>
      <c r="R42" s="3"/>
      <c r="S42" s="34"/>
      <c r="T42" s="3"/>
      <c r="U42" s="43"/>
      <c r="V42" s="3"/>
      <c r="W42" s="34"/>
      <c r="X42" s="3"/>
      <c r="Y42" s="34"/>
      <c r="Z42" s="3"/>
      <c r="AA42" s="34"/>
      <c r="AB42" s="30"/>
      <c r="AC42" s="34"/>
      <c r="AD42" s="35" t="e">
        <f t="shared" si="10"/>
        <v>#DIV/0!</v>
      </c>
    </row>
    <row r="43" ht="12.75" customHeight="1" spans="1:30" x14ac:dyDescent="0.25" outlineLevel="1" collapsed="1">
      <c r="A43" s="32">
        <v>154</v>
      </c>
      <c r="B43" s="42"/>
      <c r="C43" s="32" t="s">
        <v>62</v>
      </c>
      <c r="D43" s="35" t="e">
        <f t="shared" si="29"/>
        <v>#DIV/0!</v>
      </c>
      <c r="E43" s="33">
        <f t="shared" si="1"/>
        <v>0</v>
      </c>
      <c r="F43" s="3"/>
      <c r="G43" s="34"/>
      <c r="H43" s="3"/>
      <c r="I43" s="34"/>
      <c r="J43" s="3"/>
      <c r="K43" s="34"/>
      <c r="L43" s="3"/>
      <c r="M43" s="34"/>
      <c r="N43" s="3"/>
      <c r="O43" s="43"/>
      <c r="P43" s="3"/>
      <c r="Q43" s="34"/>
      <c r="R43" s="3"/>
      <c r="S43" s="34"/>
      <c r="T43" s="3"/>
      <c r="U43" s="34"/>
      <c r="V43" s="3"/>
      <c r="W43" s="34"/>
      <c r="X43" s="3"/>
      <c r="Y43" s="34"/>
      <c r="Z43" s="3"/>
      <c r="AA43" s="34"/>
      <c r="AB43" s="30"/>
      <c r="AC43" s="34"/>
      <c r="AD43" s="35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1" t="e">
        <f t="shared" si="29"/>
        <v>#DIV/0!</v>
      </c>
      <c r="E44" s="29">
        <f t="shared" si="1"/>
        <v>0</v>
      </c>
      <c r="F44" s="30"/>
      <c r="G44" s="30">
        <f t="shared" ref="G44:U44" si="33">SUBTOTAL(9,G45:G48)</f>
        <v>0</v>
      </c>
      <c r="H44" s="30">
        <f t="shared" si="33"/>
        <v>0</v>
      </c>
      <c r="I44" s="30">
        <f t="shared" si="33"/>
        <v>0</v>
      </c>
      <c r="J44" s="30">
        <f t="shared" si="33"/>
        <v>0</v>
      </c>
      <c r="K44" s="30">
        <f t="shared" si="33"/>
        <v>0</v>
      </c>
      <c r="L44" s="30">
        <f t="shared" si="33"/>
        <v>0</v>
      </c>
      <c r="M44" s="30">
        <f t="shared" si="33"/>
        <v>0</v>
      </c>
      <c r="N44" s="30">
        <f t="shared" si="33"/>
        <v>0</v>
      </c>
      <c r="O44" s="30">
        <f t="shared" si="33"/>
        <v>0</v>
      </c>
      <c r="P44" s="30">
        <f t="shared" si="33"/>
        <v>0</v>
      </c>
      <c r="Q44" s="30">
        <f t="shared" si="33"/>
        <v>0</v>
      </c>
      <c r="R44" s="30">
        <f t="shared" si="33"/>
        <v>0</v>
      </c>
      <c r="S44" s="30">
        <f t="shared" si="33"/>
        <v>0</v>
      </c>
      <c r="T44" s="30">
        <f t="shared" si="33"/>
        <v>0</v>
      </c>
      <c r="U44" s="30">
        <f t="shared" si="33"/>
        <v>0</v>
      </c>
      <c r="V44" s="30" t="e">
        <f>W44/$W$6</f>
        <v>#DIV/0!</v>
      </c>
      <c r="W44" s="30">
        <f t="shared" ref="W44:Y44" si="34">SUBTOTAL(9,W45:W48)</f>
        <v>0</v>
      </c>
      <c r="X44" s="30">
        <f t="shared" si="34"/>
        <v>0</v>
      </c>
      <c r="Y44" s="30">
        <f t="shared" si="34"/>
        <v>0</v>
      </c>
      <c r="Z44" s="30" t="e">
        <f>AA44/$AA$6</f>
        <v>#DIV/0!</v>
      </c>
      <c r="AA44" s="30">
        <f t="shared" ref="AA44:AC44" si="35">SUBTOTAL(9,AA45:AA48)</f>
        <v>0</v>
      </c>
      <c r="AB44" s="30">
        <f t="shared" si="35"/>
        <v>0</v>
      </c>
      <c r="AC44" s="30">
        <f t="shared" si="35"/>
        <v>0</v>
      </c>
      <c r="AD44" s="31" t="e">
        <f t="shared" si="10"/>
        <v>#DIV/0!</v>
      </c>
    </row>
    <row r="45" ht="12.75" customHeight="1" spans="1:30" x14ac:dyDescent="0.25" outlineLevel="1" collapsed="1">
      <c r="A45" s="32" t="s">
        <v>64</v>
      </c>
      <c r="B45" s="42"/>
      <c r="C45" s="32" t="s">
        <v>65</v>
      </c>
      <c r="D45" s="35" t="e">
        <f t="shared" ref="D45:D48" si="36">E45/$E$6</f>
        <v>#DIV/0!</v>
      </c>
      <c r="E45" s="33">
        <f t="shared" si="1"/>
        <v>0</v>
      </c>
      <c r="F45" s="3"/>
      <c r="G45" s="34"/>
      <c r="H45" s="3"/>
      <c r="I45" s="34"/>
      <c r="J45" s="3"/>
      <c r="K45" s="34"/>
      <c r="L45" s="3"/>
      <c r="M45" s="34"/>
      <c r="N45" s="3"/>
      <c r="O45" s="43"/>
      <c r="P45" s="3"/>
      <c r="Q45" s="34"/>
      <c r="R45" s="3"/>
      <c r="S45" s="34"/>
      <c r="T45" s="3"/>
      <c r="U45" s="34"/>
      <c r="V45" s="3"/>
      <c r="W45" s="34"/>
      <c r="X45" s="3"/>
      <c r="Y45" s="34"/>
      <c r="Z45" s="3"/>
      <c r="AA45" s="34"/>
      <c r="AB45" s="30"/>
      <c r="AC45" s="34"/>
      <c r="AD45" s="35" t="e">
        <f t="shared" si="10"/>
        <v>#DIV/0!</v>
      </c>
    </row>
    <row r="46" ht="17.25" customHeight="1" spans="1:30" x14ac:dyDescent="0.25" outlineLevel="1" collapsed="1">
      <c r="A46" s="32">
        <v>6421.8</v>
      </c>
      <c r="B46" s="47"/>
      <c r="C46" s="32" t="s">
        <v>66</v>
      </c>
      <c r="D46" s="35" t="e">
        <f t="shared" si="36"/>
        <v>#DIV/0!</v>
      </c>
      <c r="E46" s="33">
        <f t="shared" si="1"/>
        <v>0</v>
      </c>
      <c r="F46" s="3"/>
      <c r="G46" s="34"/>
      <c r="H46" s="3"/>
      <c r="I46" s="34"/>
      <c r="J46" s="3"/>
      <c r="K46" s="34"/>
      <c r="L46" s="3"/>
      <c r="M46" s="34"/>
      <c r="N46" s="3"/>
      <c r="O46" s="43"/>
      <c r="P46" s="3"/>
      <c r="Q46" s="34"/>
      <c r="R46" s="3"/>
      <c r="S46" s="34"/>
      <c r="T46" s="3"/>
      <c r="U46" s="34"/>
      <c r="V46" s="3"/>
      <c r="W46" s="34"/>
      <c r="X46" s="3"/>
      <c r="Y46" s="34"/>
      <c r="Z46" s="3"/>
      <c r="AA46" s="34"/>
      <c r="AB46" s="30"/>
      <c r="AC46" s="34"/>
      <c r="AD46" s="35" t="e">
        <f t="shared" si="10"/>
        <v>#DIV/0!</v>
      </c>
    </row>
    <row r="47" ht="17.25" customHeight="1" spans="1:30" x14ac:dyDescent="0.25" outlineLevel="1" collapsed="1">
      <c r="A47" s="32">
        <v>6421.9</v>
      </c>
      <c r="B47" s="47"/>
      <c r="C47" s="32" t="s">
        <v>67</v>
      </c>
      <c r="D47" s="35" t="e">
        <f t="shared" si="36"/>
        <v>#DIV/0!</v>
      </c>
      <c r="E47" s="33">
        <f t="shared" si="1"/>
        <v>0</v>
      </c>
      <c r="F47" s="3"/>
      <c r="G47" s="34"/>
      <c r="H47" s="3"/>
      <c r="I47" s="34"/>
      <c r="J47" s="3"/>
      <c r="K47" s="34"/>
      <c r="L47" s="3"/>
      <c r="M47" s="34"/>
      <c r="N47" s="3"/>
      <c r="O47" s="43"/>
      <c r="P47" s="3"/>
      <c r="Q47" s="34"/>
      <c r="R47" s="3"/>
      <c r="S47" s="34"/>
      <c r="T47" s="3"/>
      <c r="U47" s="34"/>
      <c r="V47" s="3"/>
      <c r="W47" s="34"/>
      <c r="X47" s="3"/>
      <c r="Y47" s="34"/>
      <c r="Z47" s="3"/>
      <c r="AA47" s="34"/>
      <c r="AB47" s="30"/>
      <c r="AC47" s="34"/>
      <c r="AD47" s="35" t="e">
        <f t="shared" si="10"/>
        <v>#DIV/0!</v>
      </c>
    </row>
    <row r="48" ht="17.25" customHeight="1" spans="1:30" x14ac:dyDescent="0.25" outlineLevel="1" collapsed="1">
      <c r="A48" s="49">
        <v>1651537</v>
      </c>
      <c r="B48" s="47"/>
      <c r="C48" s="32" t="s">
        <v>68</v>
      </c>
      <c r="D48" s="35" t="e">
        <f t="shared" si="36"/>
        <v>#DIV/0!</v>
      </c>
      <c r="E48" s="33">
        <f t="shared" si="1"/>
        <v>0</v>
      </c>
      <c r="F48" s="3"/>
      <c r="G48" s="34"/>
      <c r="H48" s="3"/>
      <c r="I48" s="34"/>
      <c r="J48" s="3"/>
      <c r="K48" s="34"/>
      <c r="L48" s="3"/>
      <c r="M48" s="34"/>
      <c r="N48" s="3"/>
      <c r="O48" s="43"/>
      <c r="P48" s="3"/>
      <c r="Q48" s="34"/>
      <c r="R48" s="3"/>
      <c r="S48" s="34"/>
      <c r="T48" s="3"/>
      <c r="U48" s="34"/>
      <c r="V48" s="3"/>
      <c r="W48" s="34"/>
      <c r="X48" s="3"/>
      <c r="Y48" s="34"/>
      <c r="Z48" s="3"/>
      <c r="AA48" s="34"/>
      <c r="AB48" s="30"/>
      <c r="AC48" s="34"/>
      <c r="AD48" s="35" t="e">
        <f t="shared" si="10"/>
        <v>#DIV/0!</v>
      </c>
    </row>
    <row r="49" ht="17.25" customHeight="1" spans="1:30" x14ac:dyDescent="0.25">
      <c r="A49" s="27"/>
      <c r="B49" s="47" t="s">
        <v>69</v>
      </c>
      <c r="C49" s="27"/>
      <c r="D49" s="31" t="e">
        <f t="shared" ref="D49:D52" si="37">E49/$E$5</f>
        <v>#DIV/0!</v>
      </c>
      <c r="E49" s="29">
        <f t="shared" si="1"/>
        <v>0</v>
      </c>
      <c r="F49" s="30"/>
      <c r="G49" s="30">
        <f t="shared" ref="G49:U49" si="38">SUBTOTAL(9,G50:G52)</f>
        <v>0</v>
      </c>
      <c r="H49" s="30">
        <f t="shared" si="38"/>
        <v>0</v>
      </c>
      <c r="I49" s="30">
        <f t="shared" si="38"/>
        <v>0</v>
      </c>
      <c r="J49" s="30">
        <f t="shared" si="38"/>
        <v>0</v>
      </c>
      <c r="K49" s="30">
        <f t="shared" si="38"/>
        <v>0</v>
      </c>
      <c r="L49" s="30">
        <f t="shared" si="38"/>
        <v>0</v>
      </c>
      <c r="M49" s="30">
        <f t="shared" si="38"/>
        <v>0</v>
      </c>
      <c r="N49" s="30">
        <f t="shared" si="38"/>
        <v>0</v>
      </c>
      <c r="O49" s="30">
        <f t="shared" si="38"/>
        <v>0</v>
      </c>
      <c r="P49" s="30">
        <f t="shared" si="38"/>
        <v>0</v>
      </c>
      <c r="Q49" s="30">
        <f t="shared" si="38"/>
        <v>0</v>
      </c>
      <c r="R49" s="30">
        <f t="shared" si="38"/>
        <v>0</v>
      </c>
      <c r="S49" s="30">
        <f t="shared" si="38"/>
        <v>0</v>
      </c>
      <c r="T49" s="30">
        <f t="shared" si="38"/>
        <v>0</v>
      </c>
      <c r="U49" s="30">
        <f t="shared" si="38"/>
        <v>0</v>
      </c>
      <c r="V49" s="30" t="e">
        <f>W49/$W$6</f>
        <v>#DIV/0!</v>
      </c>
      <c r="W49" s="30">
        <f t="shared" ref="W49:Y49" si="39">SUBTOTAL(9,W50:W52)</f>
        <v>0</v>
      </c>
      <c r="X49" s="30">
        <f t="shared" si="39"/>
        <v>0</v>
      </c>
      <c r="Y49" s="30">
        <f t="shared" si="39"/>
        <v>0</v>
      </c>
      <c r="Z49" s="30" t="e">
        <f>AA49/$AA$6</f>
        <v>#DIV/0!</v>
      </c>
      <c r="AA49" s="30">
        <f t="shared" ref="AA49:AC49" si="40">SUBTOTAL(9,AA50:AA52)</f>
        <v>0</v>
      </c>
      <c r="AB49" s="30">
        <f t="shared" si="40"/>
        <v>0</v>
      </c>
      <c r="AC49" s="30">
        <f t="shared" si="40"/>
        <v>0</v>
      </c>
      <c r="AD49" s="31" t="e">
        <f t="shared" si="10"/>
        <v>#DIV/0!</v>
      </c>
    </row>
    <row r="50" ht="17.25" customHeight="1" spans="1:30" x14ac:dyDescent="0.25" outlineLevel="1" collapsed="1">
      <c r="A50" s="49">
        <v>1651902</v>
      </c>
      <c r="B50" s="46"/>
      <c r="C50" s="32" t="s">
        <v>70</v>
      </c>
      <c r="D50" s="35" t="e">
        <f t="shared" si="37"/>
        <v>#DIV/0!</v>
      </c>
      <c r="E50" s="33">
        <f t="shared" si="1"/>
        <v>0</v>
      </c>
      <c r="F50" s="3"/>
      <c r="G50" s="34"/>
      <c r="H50" s="3"/>
      <c r="I50" s="34"/>
      <c r="J50" s="3"/>
      <c r="K50" s="34"/>
      <c r="L50" s="3"/>
      <c r="M50" s="34"/>
      <c r="N50" s="3"/>
      <c r="O50" s="43"/>
      <c r="P50" s="3"/>
      <c r="Q50" s="34"/>
      <c r="R50" s="3"/>
      <c r="S50" s="34"/>
      <c r="T50" s="3"/>
      <c r="U50" s="34"/>
      <c r="V50" s="3"/>
      <c r="W50" s="34"/>
      <c r="X50" s="3"/>
      <c r="Y50" s="34"/>
      <c r="Z50" s="3"/>
      <c r="AA50" s="34"/>
      <c r="AB50" s="30"/>
      <c r="AC50" s="34"/>
      <c r="AD50" s="35" t="e">
        <f t="shared" si="10"/>
        <v>#DIV/0!</v>
      </c>
    </row>
    <row r="51" ht="17.25" customHeight="1" spans="1:30" x14ac:dyDescent="0.25" outlineLevel="1" collapsed="1">
      <c r="A51" s="49">
        <v>1651933</v>
      </c>
      <c r="B51" s="46"/>
      <c r="C51" s="32" t="s">
        <v>71</v>
      </c>
      <c r="D51" s="35" t="e">
        <f t="shared" si="37"/>
        <v>#DIV/0!</v>
      </c>
      <c r="E51" s="33">
        <f t="shared" si="1"/>
        <v>0</v>
      </c>
      <c r="F51" s="3"/>
      <c r="G51" s="34"/>
      <c r="H51" s="3"/>
      <c r="I51" s="34"/>
      <c r="J51" s="3"/>
      <c r="K51" s="34"/>
      <c r="L51" s="3"/>
      <c r="M51" s="34"/>
      <c r="N51" s="3"/>
      <c r="O51" s="43"/>
      <c r="P51" s="3"/>
      <c r="Q51" s="34"/>
      <c r="R51" s="3"/>
      <c r="S51" s="34"/>
      <c r="T51" s="3"/>
      <c r="U51" s="34"/>
      <c r="V51" s="3"/>
      <c r="W51" s="34"/>
      <c r="X51" s="3"/>
      <c r="Y51" s="34"/>
      <c r="Z51" s="3"/>
      <c r="AA51" s="34"/>
      <c r="AB51" s="30"/>
      <c r="AC51" s="34"/>
      <c r="AD51" s="35" t="e">
        <f t="shared" si="10"/>
        <v>#DIV/0!</v>
      </c>
    </row>
    <row r="52" ht="17.25" customHeight="1" spans="1:30" x14ac:dyDescent="0.25" outlineLevel="1" collapsed="1">
      <c r="A52" s="49">
        <v>1651568</v>
      </c>
      <c r="B52" s="47"/>
      <c r="C52" s="32" t="s">
        <v>72</v>
      </c>
      <c r="D52" s="35" t="e">
        <f t="shared" si="37"/>
        <v>#DIV/0!</v>
      </c>
      <c r="E52" s="33">
        <f t="shared" si="1"/>
        <v>0</v>
      </c>
      <c r="F52" s="3"/>
      <c r="G52" s="34"/>
      <c r="H52" s="3"/>
      <c r="I52" s="34"/>
      <c r="J52" s="3"/>
      <c r="K52" s="34"/>
      <c r="L52" s="3"/>
      <c r="M52" s="34"/>
      <c r="N52" s="3"/>
      <c r="O52" s="43"/>
      <c r="P52" s="3"/>
      <c r="Q52" s="34"/>
      <c r="R52" s="3"/>
      <c r="S52" s="34"/>
      <c r="T52" s="3"/>
      <c r="U52" s="34"/>
      <c r="V52" s="3"/>
      <c r="W52" s="34"/>
      <c r="X52" s="3"/>
      <c r="Y52" s="34"/>
      <c r="Z52" s="3"/>
      <c r="AA52" s="34"/>
      <c r="AB52" s="30"/>
      <c r="AC52" s="34"/>
      <c r="AD52" s="35" t="e">
        <f t="shared" si="10"/>
        <v>#DIV/0!</v>
      </c>
    </row>
    <row r="53" ht="17.25" customHeight="1" spans="1:30" x14ac:dyDescent="0.25">
      <c r="A53" s="27"/>
      <c r="B53" s="47" t="s">
        <v>73</v>
      </c>
      <c r="C53" s="27"/>
      <c r="D53" s="31" t="e">
        <f t="shared" ref="D53:D54" si="41">E53/$E$5-0.85%</f>
        <v>#DIV/0!</v>
      </c>
      <c r="E53" s="29">
        <f t="shared" si="1"/>
        <v>0</v>
      </c>
      <c r="F53" s="30"/>
      <c r="G53" s="30">
        <f t="shared" ref="G53:U53" si="42">SUBTOTAL(9,G54:G56)</f>
        <v>0</v>
      </c>
      <c r="H53" s="30">
        <f t="shared" si="42"/>
        <v>0</v>
      </c>
      <c r="I53" s="30">
        <f t="shared" si="42"/>
        <v>0</v>
      </c>
      <c r="J53" s="30">
        <f t="shared" si="42"/>
        <v>0</v>
      </c>
      <c r="K53" s="30">
        <f t="shared" si="42"/>
        <v>0</v>
      </c>
      <c r="L53" s="30">
        <f t="shared" si="42"/>
        <v>0</v>
      </c>
      <c r="M53" s="30">
        <f t="shared" si="42"/>
        <v>0</v>
      </c>
      <c r="N53" s="30">
        <f t="shared" si="42"/>
        <v>0</v>
      </c>
      <c r="O53" s="30">
        <f t="shared" si="42"/>
        <v>0</v>
      </c>
      <c r="P53" s="30">
        <f t="shared" si="42"/>
        <v>0</v>
      </c>
      <c r="Q53" s="30">
        <f t="shared" si="42"/>
        <v>0</v>
      </c>
      <c r="R53" s="30">
        <f t="shared" si="42"/>
        <v>0</v>
      </c>
      <c r="S53" s="30">
        <f t="shared" si="42"/>
        <v>0</v>
      </c>
      <c r="T53" s="30">
        <f t="shared" si="42"/>
        <v>0</v>
      </c>
      <c r="U53" s="30">
        <f t="shared" si="42"/>
        <v>0</v>
      </c>
      <c r="V53" s="30" t="e">
        <f>W53/$W$6</f>
        <v>#DIV/0!</v>
      </c>
      <c r="W53" s="30">
        <f t="shared" ref="W53:Y53" si="43">SUBTOTAL(9,W54:W56)</f>
        <v>0</v>
      </c>
      <c r="X53" s="30">
        <f t="shared" si="43"/>
        <v>0</v>
      </c>
      <c r="Y53" s="30">
        <f t="shared" si="43"/>
        <v>0</v>
      </c>
      <c r="Z53" s="30" t="e">
        <f>AA53/$AA$6</f>
        <v>#DIV/0!</v>
      </c>
      <c r="AA53" s="30">
        <f t="shared" ref="AA53:AC53" si="44">SUBTOTAL(9,AA54:AA56)</f>
        <v>0</v>
      </c>
      <c r="AB53" s="30">
        <f t="shared" si="44"/>
        <v>0</v>
      </c>
      <c r="AC53" s="30">
        <f t="shared" si="44"/>
        <v>0</v>
      </c>
      <c r="AD53" s="31" t="e">
        <f t="shared" si="10"/>
        <v>#DIV/0!</v>
      </c>
    </row>
    <row r="54" ht="17.25" customHeight="1" spans="1:30" x14ac:dyDescent="0.25" outlineLevel="1" collapsed="1">
      <c r="A54" s="32" t="s">
        <v>74</v>
      </c>
      <c r="B54" s="42"/>
      <c r="C54" s="32" t="s">
        <v>75</v>
      </c>
      <c r="D54" s="35" t="e">
        <f t="shared" si="41"/>
        <v>#DIV/0!</v>
      </c>
      <c r="E54" s="33">
        <f t="shared" si="1"/>
        <v>0</v>
      </c>
      <c r="F54" s="3"/>
      <c r="G54" s="34"/>
      <c r="H54" s="3"/>
      <c r="I54" s="34"/>
      <c r="J54" s="3"/>
      <c r="K54" s="50"/>
      <c r="L54" s="3"/>
      <c r="M54" s="34"/>
      <c r="N54" s="3"/>
      <c r="O54" s="43"/>
      <c r="P54" s="3"/>
      <c r="Q54" s="34"/>
      <c r="R54" s="3"/>
      <c r="S54" s="34"/>
      <c r="T54" s="3"/>
      <c r="U54" s="34"/>
      <c r="V54" s="3"/>
      <c r="W54" s="34"/>
      <c r="X54" s="3"/>
      <c r="Y54" s="34"/>
      <c r="Z54" s="3"/>
      <c r="AA54" s="34"/>
      <c r="AB54" s="30"/>
      <c r="AC54" s="34"/>
      <c r="AD54" s="35" t="e">
        <f t="shared" si="10"/>
        <v>#DIV/0!</v>
      </c>
    </row>
    <row r="55" ht="17.25" customHeight="1" spans="1:30" x14ac:dyDescent="0.25" outlineLevel="1" collapsed="1">
      <c r="A55" s="32">
        <v>3383</v>
      </c>
      <c r="B55" s="42"/>
      <c r="C55" s="32" t="s">
        <v>76</v>
      </c>
      <c r="D55" s="35" t="e">
        <f>E55/$E$5</f>
        <v>#DIV/0!</v>
      </c>
      <c r="E55" s="33">
        <f t="shared" si="1"/>
        <v>0</v>
      </c>
      <c r="F55" s="3"/>
      <c r="G55" s="34"/>
      <c r="H55" s="3"/>
      <c r="I55" s="34"/>
      <c r="J55" s="3"/>
      <c r="K55" s="34"/>
      <c r="L55" s="3"/>
      <c r="M55" s="34"/>
      <c r="N55" s="3"/>
      <c r="O55" s="43"/>
      <c r="P55" s="3"/>
      <c r="Q55" s="34"/>
      <c r="R55" s="3"/>
      <c r="S55" s="34"/>
      <c r="T55" s="3"/>
      <c r="U55" s="34"/>
      <c r="V55" s="3"/>
      <c r="W55" s="34"/>
      <c r="X55" s="3"/>
      <c r="Y55" s="34"/>
      <c r="Z55" s="3"/>
      <c r="AA55" s="34"/>
      <c r="AB55" s="30"/>
      <c r="AC55" s="34"/>
      <c r="AD55" s="35" t="e">
        <f t="shared" si="10"/>
        <v>#DIV/0!</v>
      </c>
    </row>
    <row r="56" ht="17.25" customHeight="1" spans="1:30" x14ac:dyDescent="0.25" outlineLevel="1" collapsed="1">
      <c r="A56" s="32">
        <v>6422.8</v>
      </c>
      <c r="B56" s="42"/>
      <c r="C56" s="32" t="s">
        <v>77</v>
      </c>
      <c r="D56" s="35"/>
      <c r="E56" s="33">
        <f t="shared" si="1"/>
        <v>0</v>
      </c>
      <c r="F56" s="3"/>
      <c r="G56" s="34"/>
      <c r="H56" s="3"/>
      <c r="I56" s="34"/>
      <c r="J56" s="3"/>
      <c r="K56" s="51"/>
      <c r="L56" s="3"/>
      <c r="M56" s="34"/>
      <c r="N56" s="3"/>
      <c r="O56" s="43"/>
      <c r="P56" s="3"/>
      <c r="Q56" s="34"/>
      <c r="R56" s="3"/>
      <c r="S56" s="34"/>
      <c r="T56" s="3"/>
      <c r="U56" s="34"/>
      <c r="V56" s="3"/>
      <c r="W56" s="34"/>
      <c r="X56" s="3"/>
      <c r="Y56" s="34"/>
      <c r="Z56" s="3"/>
      <c r="AA56" s="34"/>
      <c r="AB56" s="30"/>
      <c r="AC56" s="34"/>
      <c r="AD56" s="35" t="e">
        <f t="shared" si="10"/>
        <v>#DIV/0!</v>
      </c>
    </row>
    <row r="57" ht="17.25" customHeight="1" spans="1:30" x14ac:dyDescent="0.25">
      <c r="A57" s="27"/>
      <c r="B57" s="27" t="s">
        <v>78</v>
      </c>
      <c r="C57" s="32"/>
      <c r="D57" s="31" t="e">
        <f>E57/$E$5-0.15%</f>
        <v>#DIV/0!</v>
      </c>
      <c r="E57" s="29">
        <f t="shared" si="1"/>
        <v>0</v>
      </c>
      <c r="F57" s="30"/>
      <c r="G57" s="30">
        <f t="shared" ref="G57:U57" si="45">SUBTOTAL(9,G58:G62)</f>
        <v>0</v>
      </c>
      <c r="H57" s="30">
        <f t="shared" si="45"/>
        <v>0</v>
      </c>
      <c r="I57" s="30">
        <f t="shared" si="45"/>
        <v>0</v>
      </c>
      <c r="J57" s="30">
        <f t="shared" si="45"/>
        <v>0</v>
      </c>
      <c r="K57" s="30">
        <f t="shared" si="45"/>
        <v>0</v>
      </c>
      <c r="L57" s="30">
        <f t="shared" si="45"/>
        <v>0</v>
      </c>
      <c r="M57" s="30">
        <f t="shared" si="45"/>
        <v>0</v>
      </c>
      <c r="N57" s="30">
        <f t="shared" si="45"/>
        <v>0</v>
      </c>
      <c r="O57" s="30">
        <f t="shared" si="45"/>
        <v>0</v>
      </c>
      <c r="P57" s="30">
        <f t="shared" si="45"/>
        <v>0</v>
      </c>
      <c r="Q57" s="30">
        <f t="shared" si="45"/>
        <v>0</v>
      </c>
      <c r="R57" s="30">
        <f t="shared" si="45"/>
        <v>0</v>
      </c>
      <c r="S57" s="30">
        <f t="shared" si="45"/>
        <v>0</v>
      </c>
      <c r="T57" s="30">
        <f t="shared" si="45"/>
        <v>0</v>
      </c>
      <c r="U57" s="30">
        <f t="shared" si="45"/>
        <v>0</v>
      </c>
      <c r="V57" s="30" t="e">
        <f>W57/$W$6</f>
        <v>#DIV/0!</v>
      </c>
      <c r="W57" s="30">
        <f t="shared" ref="W57:Y57" si="46">SUBTOTAL(9,W58:W62)</f>
        <v>0</v>
      </c>
      <c r="X57" s="30">
        <f t="shared" si="46"/>
        <v>0</v>
      </c>
      <c r="Y57" s="30">
        <f t="shared" si="46"/>
        <v>0</v>
      </c>
      <c r="Z57" s="30" t="e">
        <f>AA57/$AA$6</f>
        <v>#DIV/0!</v>
      </c>
      <c r="AA57" s="30">
        <f t="shared" ref="AA57:AC57" si="47">SUBTOTAL(9,AA58:AA62)</f>
        <v>0</v>
      </c>
      <c r="AB57" s="30">
        <f t="shared" si="47"/>
        <v>0</v>
      </c>
      <c r="AC57" s="30">
        <f t="shared" si="47"/>
        <v>0</v>
      </c>
      <c r="AD57" s="31" t="e">
        <f t="shared" si="10"/>
        <v>#DIV/0!</v>
      </c>
    </row>
    <row r="58" ht="17.25" customHeight="1" spans="1:30" x14ac:dyDescent="0.25" outlineLevel="1" collapsed="1">
      <c r="A58" s="52">
        <v>334.4</v>
      </c>
      <c r="B58" s="52" t="s">
        <v>79</v>
      </c>
      <c r="C58" s="53" t="s">
        <v>79</v>
      </c>
      <c r="D58" s="35" t="e">
        <f t="shared" ref="D58:D63" si="48">E58/$E$5</f>
        <v>#DIV/0!</v>
      </c>
      <c r="E58" s="33">
        <f t="shared" si="1"/>
        <v>0</v>
      </c>
      <c r="F58" s="3"/>
      <c r="G58" s="34"/>
      <c r="H58" s="3"/>
      <c r="I58" s="34"/>
      <c r="J58" s="3"/>
      <c r="K58" s="34"/>
      <c r="L58" s="3"/>
      <c r="M58" s="34"/>
      <c r="N58" s="3"/>
      <c r="O58" s="34"/>
      <c r="P58" s="3"/>
      <c r="Q58" s="34"/>
      <c r="R58" s="3"/>
      <c r="S58" s="34"/>
      <c r="T58" s="3"/>
      <c r="U58" s="34"/>
      <c r="V58" s="3"/>
      <c r="W58" s="34"/>
      <c r="X58" s="3"/>
      <c r="Y58" s="34"/>
      <c r="Z58" s="3"/>
      <c r="AA58" s="34"/>
      <c r="AB58" s="30"/>
      <c r="AC58" s="34"/>
      <c r="AD58" s="35" t="e">
        <f t="shared" si="10"/>
        <v>#DIV/0!</v>
      </c>
    </row>
    <row r="59" ht="17.25" customHeight="1" spans="1:30" x14ac:dyDescent="0.25" outlineLevel="1" collapsed="1">
      <c r="A59" s="52" t="s">
        <v>80</v>
      </c>
      <c r="B59" s="52" t="s">
        <v>81</v>
      </c>
      <c r="C59" s="53" t="s">
        <v>82</v>
      </c>
      <c r="D59" s="35" t="e">
        <f t="shared" si="48"/>
        <v>#DIV/0!</v>
      </c>
      <c r="E59" s="33">
        <f t="shared" si="1"/>
        <v>0</v>
      </c>
      <c r="F59" s="3"/>
      <c r="G59" s="34"/>
      <c r="H59" s="3"/>
      <c r="I59" s="34"/>
      <c r="J59" s="3"/>
      <c r="K59" s="34"/>
      <c r="L59" s="3"/>
      <c r="M59" s="34"/>
      <c r="N59" s="3"/>
      <c r="O59" s="34"/>
      <c r="P59" s="3"/>
      <c r="Q59" s="34"/>
      <c r="R59" s="3"/>
      <c r="S59" s="54"/>
      <c r="T59" s="3"/>
      <c r="U59" s="34"/>
      <c r="V59" s="3"/>
      <c r="W59" s="34"/>
      <c r="X59" s="3"/>
      <c r="Y59" s="34"/>
      <c r="Z59" s="3"/>
      <c r="AA59" s="34"/>
      <c r="AB59" s="30"/>
      <c r="AC59" s="34"/>
      <c r="AD59" s="35" t="e">
        <f t="shared" si="10"/>
        <v>#DIV/0!</v>
      </c>
    </row>
    <row r="60" ht="17.25" customHeight="1" spans="1:30" x14ac:dyDescent="0.25" outlineLevel="1" collapsed="1">
      <c r="A60" s="52" t="s">
        <v>83</v>
      </c>
      <c r="B60" s="52" t="s">
        <v>84</v>
      </c>
      <c r="C60" s="53" t="s">
        <v>85</v>
      </c>
      <c r="D60" s="35" t="e">
        <f t="shared" si="48"/>
        <v>#DIV/0!</v>
      </c>
      <c r="E60" s="33">
        <f t="shared" si="1"/>
        <v>0</v>
      </c>
      <c r="F60" s="3"/>
      <c r="G60" s="34"/>
      <c r="H60" s="3"/>
      <c r="I60" s="34"/>
      <c r="J60" s="3"/>
      <c r="K60" s="34"/>
      <c r="L60" s="3"/>
      <c r="M60" s="34"/>
      <c r="N60" s="3"/>
      <c r="O60" s="34"/>
      <c r="P60" s="3"/>
      <c r="Q60" s="34"/>
      <c r="R60" s="3"/>
      <c r="S60" s="34"/>
      <c r="T60" s="3"/>
      <c r="U60" s="34"/>
      <c r="V60" s="3"/>
      <c r="W60" s="34"/>
      <c r="X60" s="3"/>
      <c r="Y60" s="34"/>
      <c r="Z60" s="3"/>
      <c r="AA60" s="34"/>
      <c r="AB60" s="30"/>
      <c r="AC60" s="34"/>
      <c r="AD60" s="35" t="e">
        <f t="shared" si="10"/>
        <v>#DIV/0!</v>
      </c>
    </row>
    <row r="61" ht="17.25" customHeight="1" spans="1:30" x14ac:dyDescent="0.25" outlineLevel="1" collapsed="1">
      <c r="A61" s="52" t="s">
        <v>86</v>
      </c>
      <c r="B61" s="52" t="s">
        <v>87</v>
      </c>
      <c r="C61" s="32" t="s">
        <v>88</v>
      </c>
      <c r="D61" s="35" t="e">
        <f t="shared" si="48"/>
        <v>#DIV/0!</v>
      </c>
      <c r="E61" s="33">
        <f t="shared" si="1"/>
        <v>0</v>
      </c>
      <c r="F61" s="3"/>
      <c r="G61" s="34"/>
      <c r="H61" s="3"/>
      <c r="I61" s="34"/>
      <c r="J61" s="3"/>
      <c r="K61" s="34"/>
      <c r="L61" s="3"/>
      <c r="M61" s="34"/>
      <c r="N61" s="3"/>
      <c r="O61" s="34"/>
      <c r="P61" s="3"/>
      <c r="Q61" s="34"/>
      <c r="R61" s="3"/>
      <c r="S61" s="34"/>
      <c r="T61" s="3"/>
      <c r="U61" s="34"/>
      <c r="V61" s="3"/>
      <c r="W61" s="34"/>
      <c r="X61" s="3"/>
      <c r="Y61" s="34"/>
      <c r="Z61" s="3"/>
      <c r="AA61" s="34"/>
      <c r="AB61" s="30"/>
      <c r="AC61" s="34"/>
      <c r="AD61" s="35" t="e">
        <f t="shared" si="10"/>
        <v>#DIV/0!</v>
      </c>
    </row>
    <row r="62" ht="17.25" customHeight="1" spans="1:30" x14ac:dyDescent="0.25" outlineLevel="1" collapsed="1">
      <c r="A62" s="32" t="s">
        <v>89</v>
      </c>
      <c r="B62" s="52" t="s">
        <v>90</v>
      </c>
      <c r="C62" s="32" t="s">
        <v>90</v>
      </c>
      <c r="D62" s="35" t="e">
        <f t="shared" si="48"/>
        <v>#DIV/0!</v>
      </c>
      <c r="E62" s="33">
        <f t="shared" si="1"/>
        <v>0</v>
      </c>
      <c r="F62" s="3"/>
      <c r="G62" s="34"/>
      <c r="H62" s="3"/>
      <c r="I62" s="34"/>
      <c r="J62" s="3"/>
      <c r="K62" s="34"/>
      <c r="L62" s="3"/>
      <c r="M62" s="34"/>
      <c r="N62" s="3"/>
      <c r="O62" s="34"/>
      <c r="P62" s="3"/>
      <c r="Q62" s="34"/>
      <c r="R62" s="3"/>
      <c r="S62" s="34"/>
      <c r="T62" s="3"/>
      <c r="V62" s="3"/>
      <c r="W62" s="34"/>
      <c r="X62" s="3"/>
      <c r="Y62" s="34"/>
      <c r="Z62" s="3"/>
      <c r="AA62" s="34"/>
      <c r="AB62" s="30"/>
      <c r="AC62" s="34"/>
      <c r="AD62" s="35" t="e">
        <f t="shared" si="10"/>
        <v>#DIV/0!</v>
      </c>
    </row>
    <row r="63" ht="17.25" customHeight="1" spans="1:30" x14ac:dyDescent="0.25">
      <c r="A63" s="32">
        <v>811</v>
      </c>
      <c r="B63" s="27" t="s">
        <v>91</v>
      </c>
      <c r="C63" s="32" t="s">
        <v>91</v>
      </c>
      <c r="D63" s="31" t="e">
        <f t="shared" si="48"/>
        <v>#DIV/0!</v>
      </c>
      <c r="E63" s="29">
        <f t="shared" si="1"/>
        <v>0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1" t="e">
        <f>E63/$E$6</f>
        <v>#DIV/0!</v>
      </c>
    </row>
    <row r="64" ht="17.25" customHeight="1" spans="1:30" x14ac:dyDescent="0.25">
      <c r="A64" s="32">
        <v>128</v>
      </c>
      <c r="B64" s="27" t="s">
        <v>92</v>
      </c>
      <c r="C64" s="32" t="s">
        <v>92</v>
      </c>
      <c r="D64" s="35" t="e">
        <f>E64/$E$6</f>
        <v>#DIV/0!</v>
      </c>
      <c r="E64" s="33">
        <f t="shared" si="1"/>
        <v>0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"/>
      <c r="W64" s="30"/>
      <c r="X64" s="30"/>
      <c r="Y64" s="30"/>
      <c r="Z64" s="30"/>
      <c r="AA64" s="30"/>
      <c r="AB64" s="30"/>
      <c r="AC64" s="30"/>
      <c r="AD64" s="31" t="e">
        <f t="shared" ref="AD64:AD65" si="49">E64/$E$6</f>
        <v>#DIV/0!</v>
      </c>
    </row>
    <row r="65" ht="17.25" customHeight="1" spans="1:30" x14ac:dyDescent="0.25">
      <c r="A65" s="32" t="s">
        <v>93</v>
      </c>
      <c r="B65" s="27" t="s">
        <v>94</v>
      </c>
      <c r="C65" s="32" t="s">
        <v>95</v>
      </c>
      <c r="D65" s="31" t="e">
        <f>E65/$E$5</f>
        <v>#DIV/0!</v>
      </c>
      <c r="E65" s="29">
        <f t="shared" si="1"/>
        <v>0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1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5"/>
      <c r="B3" s="55" t="s">
        <v>98</v>
      </c>
      <c r="C3" s="55"/>
      <c r="D3" s="3"/>
      <c r="F3" s="56"/>
      <c r="G3" s="57" t="s">
        <v>99</v>
      </c>
      <c r="H3" s="58"/>
      <c r="I3" s="59" t="s">
        <v>99</v>
      </c>
      <c r="J3" s="58"/>
      <c r="K3" s="32" t="s">
        <v>100</v>
      </c>
      <c r="L3" s="58"/>
      <c r="N3" s="58"/>
      <c r="P3" s="58"/>
      <c r="R3" s="58"/>
      <c r="T3" s="58"/>
      <c r="X3" s="3"/>
      <c r="Z3" s="3"/>
      <c r="AB3" s="3"/>
    </row>
    <row r="4" ht="12.75" customHeight="1" spans="4:28" x14ac:dyDescent="0.25">
      <c r="D4" s="3"/>
      <c r="F4" s="3"/>
      <c r="H4" s="60"/>
      <c r="I4" s="61" t="s">
        <v>99</v>
      </c>
      <c r="J4" s="60"/>
      <c r="K4" s="32" t="s">
        <v>101</v>
      </c>
      <c r="L4" s="60"/>
      <c r="N4" s="60"/>
      <c r="P4" s="60"/>
      <c r="R4" s="60"/>
      <c r="T4" s="60"/>
      <c r="X4" s="3"/>
      <c r="Z4" s="3"/>
      <c r="AB4" s="3"/>
    </row>
    <row r="5" ht="12.75" customHeight="1" spans="4:28" x14ac:dyDescent="0.25">
      <c r="D5" s="3"/>
      <c r="F5" s="3"/>
      <c r="G5" s="54"/>
      <c r="H5" s="3"/>
      <c r="J5" s="3"/>
      <c r="L5" s="3"/>
      <c r="N5" s="3"/>
      <c r="P5" s="3"/>
      <c r="R5" s="3"/>
      <c r="T5" s="3"/>
      <c r="U5" s="62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3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4" t="s">
        <v>103</v>
      </c>
      <c r="AG7" s="65">
        <f>E20/2</f>
        <v>0</v>
      </c>
      <c r="AH7" s="66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4" t="s">
        <v>104</v>
      </c>
      <c r="AG8" s="65">
        <f>2096000000+1000000000+100000000</f>
        <v>3196000000</v>
      </c>
      <c r="AH8" s="66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4" t="s">
        <v>105</v>
      </c>
      <c r="AG9" s="65">
        <v>200000000</v>
      </c>
      <c r="AH9" s="66"/>
    </row>
    <row r="10" ht="12.75" customHeight="1" spans="1:34" x14ac:dyDescent="0.25">
      <c r="A10" s="27"/>
      <c r="B10" s="27" t="s">
        <v>18</v>
      </c>
      <c r="C10" s="27"/>
      <c r="D10" s="31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1" t="e">
        <f t="shared" ref="AD10:AD19" si="3">E10/$E$9</f>
        <v>#DIV/0!</v>
      </c>
      <c r="AF10" s="64" t="s">
        <v>106</v>
      </c>
      <c r="AG10" s="67" t="e">
        <f>(I69+AG8+AG9)/AG7</f>
        <v>#DIV/0!</v>
      </c>
      <c r="AH10" s="66"/>
    </row>
    <row r="11" ht="12.75" customHeight="1" spans="1:34" x14ac:dyDescent="0.25">
      <c r="A11" s="27" t="s">
        <v>19</v>
      </c>
      <c r="C11" s="32" t="s">
        <v>20</v>
      </c>
      <c r="D11" s="35"/>
      <c r="E11" s="33"/>
      <c r="F11" s="3"/>
      <c r="G11" s="34"/>
      <c r="H11" s="3"/>
      <c r="I11" s="34"/>
      <c r="J11" s="3"/>
      <c r="K11" s="34"/>
      <c r="L11" s="3"/>
      <c r="M11" s="34"/>
      <c r="N11" s="3"/>
      <c r="O11" s="34"/>
      <c r="P11" s="3"/>
      <c r="Q11" s="34"/>
      <c r="R11" s="3"/>
      <c r="S11" s="34"/>
      <c r="T11" s="3"/>
      <c r="U11" s="34"/>
      <c r="V11" s="3"/>
      <c r="W11" s="34"/>
      <c r="X11" s="3"/>
      <c r="Y11" s="34"/>
      <c r="Z11" s="3"/>
      <c r="AA11" s="34"/>
      <c r="AB11" s="3"/>
      <c r="AC11" s="34"/>
      <c r="AD11" s="35" t="e">
        <f t="shared" si="3"/>
        <v>#DIV/0!</v>
      </c>
      <c r="AF11" s="64" t="s">
        <v>107</v>
      </c>
      <c r="AG11" s="68" t="e">
        <f>AG15/AG13</f>
        <v>#DIV/0!</v>
      </c>
      <c r="AH11" s="66"/>
    </row>
    <row r="12" ht="12.75" customHeight="1" spans="3:33" x14ac:dyDescent="0.25">
      <c r="C12" s="32" t="s">
        <v>21</v>
      </c>
      <c r="D12" s="35"/>
      <c r="E12" s="33"/>
      <c r="F12" s="3"/>
      <c r="G12" s="34"/>
      <c r="H12" s="3"/>
      <c r="I12" s="34"/>
      <c r="J12" s="3"/>
      <c r="K12" s="34"/>
      <c r="L12" s="3"/>
      <c r="M12" s="34"/>
      <c r="N12" s="3"/>
      <c r="O12" s="34"/>
      <c r="P12" s="3"/>
      <c r="Q12" s="34"/>
      <c r="R12" s="3"/>
      <c r="S12" s="34"/>
      <c r="T12" s="3"/>
      <c r="U12" s="34"/>
      <c r="V12" s="3"/>
      <c r="W12" s="34"/>
      <c r="X12" s="3"/>
      <c r="Y12" s="34"/>
      <c r="Z12" s="3"/>
      <c r="AA12" s="34"/>
      <c r="AB12" s="3"/>
      <c r="AC12" s="34"/>
      <c r="AD12" s="35" t="e">
        <f t="shared" si="3"/>
        <v>#DIV/0!</v>
      </c>
      <c r="AF12" s="64" t="s">
        <v>108</v>
      </c>
      <c r="AG12" s="68" t="e">
        <f>AG18/AG16</f>
        <v>#DIV/0!</v>
      </c>
    </row>
    <row r="13" ht="12.75" customHeight="1" spans="3:33" x14ac:dyDescent="0.25">
      <c r="C13" s="32" t="s">
        <v>22</v>
      </c>
      <c r="D13" s="35"/>
      <c r="E13" s="33"/>
      <c r="F13" s="3"/>
      <c r="G13" s="34"/>
      <c r="H13" s="3"/>
      <c r="I13" s="34"/>
      <c r="J13" s="3"/>
      <c r="K13" s="34"/>
      <c r="L13" s="3"/>
      <c r="M13" s="34"/>
      <c r="N13" s="3"/>
      <c r="O13" s="34"/>
      <c r="P13" s="3"/>
      <c r="Q13" s="34"/>
      <c r="R13" s="3"/>
      <c r="S13" s="34"/>
      <c r="T13" s="3"/>
      <c r="U13" s="34"/>
      <c r="V13" s="3"/>
      <c r="W13" s="34"/>
      <c r="X13" s="3"/>
      <c r="Y13" s="3"/>
      <c r="Z13" s="3"/>
      <c r="AA13" s="34"/>
      <c r="AB13" s="3"/>
      <c r="AC13" s="34"/>
      <c r="AD13" s="35" t="e">
        <f t="shared" si="3"/>
        <v>#DIV/0!</v>
      </c>
      <c r="AF13" s="64" t="s">
        <v>109</v>
      </c>
      <c r="AG13" s="65">
        <f>I9</f>
        <v>0</v>
      </c>
    </row>
    <row r="14" ht="12.75" customHeight="1" spans="1:33" x14ac:dyDescent="0.25">
      <c r="A14" s="27"/>
      <c r="B14" s="27" t="s">
        <v>23</v>
      </c>
      <c r="C14" s="27"/>
      <c r="D14" s="31"/>
      <c r="E14" s="29"/>
      <c r="F14" s="30"/>
      <c r="G14" s="36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"/>
      <c r="W14" s="30"/>
      <c r="X14" s="3"/>
      <c r="Y14" s="30"/>
      <c r="Z14" s="30"/>
      <c r="AA14" s="36"/>
      <c r="AB14" s="3"/>
      <c r="AC14" s="30"/>
      <c r="AD14" s="31" t="e">
        <f t="shared" si="3"/>
        <v>#DIV/0!</v>
      </c>
      <c r="AF14" s="64" t="s">
        <v>110</v>
      </c>
      <c r="AG14" s="65">
        <f>I20</f>
        <v>0</v>
      </c>
    </row>
    <row r="15" ht="12.75" customHeight="1" spans="1:33" x14ac:dyDescent="0.25">
      <c r="A15" s="27"/>
      <c r="B15" s="27" t="s">
        <v>24</v>
      </c>
      <c r="C15" s="27"/>
      <c r="D15" s="31"/>
      <c r="E15" s="29"/>
      <c r="F15" s="30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"/>
      <c r="W15" s="30"/>
      <c r="X15" s="3"/>
      <c r="Y15" s="30"/>
      <c r="Z15" s="30"/>
      <c r="AA15" s="36"/>
      <c r="AB15" s="3"/>
      <c r="AC15" s="30"/>
      <c r="AD15" s="31" t="e">
        <f t="shared" si="3"/>
        <v>#DIV/0!</v>
      </c>
      <c r="AF15" s="64" t="s">
        <v>111</v>
      </c>
      <c r="AG15" s="69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2" t="s">
        <v>27</v>
      </c>
      <c r="D16" s="31"/>
      <c r="E16" s="29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"/>
      <c r="Y16" s="30"/>
      <c r="Z16" s="30"/>
      <c r="AA16" s="30"/>
      <c r="AB16" s="30"/>
      <c r="AC16" s="30"/>
      <c r="AD16" s="31" t="e">
        <f t="shared" si="3"/>
        <v>#DIV/0!</v>
      </c>
      <c r="AF16" s="64" t="s">
        <v>112</v>
      </c>
      <c r="AG16" s="65">
        <f>E9</f>
        <v>0</v>
      </c>
    </row>
    <row r="17" ht="12.75" customHeight="1" spans="1:42" x14ac:dyDescent="0.25">
      <c r="A17" s="37">
        <v>711.1</v>
      </c>
      <c r="B17" s="37" t="s">
        <v>28</v>
      </c>
      <c r="C17" s="37"/>
      <c r="D17" s="39"/>
      <c r="E17" s="40"/>
      <c r="F17" s="41"/>
      <c r="G17" s="38"/>
      <c r="H17" s="41"/>
      <c r="I17" s="38"/>
      <c r="J17" s="41"/>
      <c r="K17" s="38"/>
      <c r="L17" s="41"/>
      <c r="M17" s="38"/>
      <c r="N17" s="41"/>
      <c r="O17" s="38"/>
      <c r="P17" s="41"/>
      <c r="Q17" s="38"/>
      <c r="R17" s="41"/>
      <c r="S17" s="38"/>
      <c r="T17" s="41"/>
      <c r="U17" s="38"/>
      <c r="V17" s="41"/>
      <c r="W17" s="38"/>
      <c r="X17" s="70"/>
      <c r="Y17" s="38"/>
      <c r="Z17" s="41"/>
      <c r="AA17" s="38"/>
      <c r="AB17" s="41"/>
      <c r="AC17" s="38"/>
      <c r="AD17" s="39" t="e">
        <f t="shared" si="3"/>
        <v>#DIV/0!</v>
      </c>
      <c r="AE17" s="52"/>
      <c r="AF17" s="64" t="s">
        <v>113</v>
      </c>
      <c r="AG17" s="65">
        <f>E20</f>
        <v>0</v>
      </c>
      <c r="AH17" s="52"/>
      <c r="AI17" s="52"/>
      <c r="AL17" s="52"/>
      <c r="AM17" s="52"/>
      <c r="AN17" s="52"/>
      <c r="AO17" s="52"/>
      <c r="AP17" s="52"/>
    </row>
    <row r="18" ht="12.75" customHeight="1" spans="1:33" x14ac:dyDescent="0.25">
      <c r="A18" s="27" t="s">
        <v>29</v>
      </c>
      <c r="B18" s="27" t="s">
        <v>30</v>
      </c>
      <c r="C18" s="32" t="s">
        <v>31</v>
      </c>
      <c r="D18" s="31"/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1" t="e">
        <f t="shared" si="3"/>
        <v>#DIV/0!</v>
      </c>
      <c r="AF18" s="64" t="s">
        <v>114</v>
      </c>
      <c r="AG18" s="69">
        <f>AG16-AG17</f>
        <v>0</v>
      </c>
    </row>
    <row r="19" ht="12.75" customHeight="1" spans="1:30" x14ac:dyDescent="0.25">
      <c r="A19" s="27" t="s">
        <v>32</v>
      </c>
      <c r="B19" s="27"/>
      <c r="C19" s="32" t="s">
        <v>33</v>
      </c>
      <c r="D19" s="31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1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1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"/>
      <c r="W21" s="30"/>
      <c r="X21" s="30"/>
      <c r="Y21" s="30"/>
      <c r="Z21" s="3"/>
      <c r="AA21" s="30"/>
      <c r="AB21" s="30"/>
      <c r="AC21" s="30"/>
      <c r="AD21" s="31" t="e">
        <f t="shared" ref="AD21:AD65" si="4">E21/$E$9</f>
        <v>#DIV/0!</v>
      </c>
    </row>
    <row r="22" ht="12.75" customHeight="1" spans="2:30" x14ac:dyDescent="0.25" outlineLevel="1" collapsed="1">
      <c r="B22" s="32">
        <v>334.1</v>
      </c>
      <c r="C22" s="32" t="s">
        <v>36</v>
      </c>
      <c r="D22" s="35"/>
      <c r="E22" s="33"/>
      <c r="F22" s="3"/>
      <c r="G22" s="34"/>
      <c r="H22" s="3"/>
      <c r="I22" s="34"/>
      <c r="J22" s="3"/>
      <c r="K22" s="34"/>
      <c r="L22" s="3"/>
      <c r="M22" s="34"/>
      <c r="N22" s="3"/>
      <c r="O22" s="34"/>
      <c r="P22" s="3"/>
      <c r="Q22" s="34"/>
      <c r="R22" s="3"/>
      <c r="S22" s="34"/>
      <c r="T22" s="3"/>
      <c r="U22" s="34"/>
      <c r="V22" s="3"/>
      <c r="W22" s="34"/>
      <c r="X22" s="3"/>
      <c r="Y22" s="34"/>
      <c r="Z22" s="3"/>
      <c r="AA22" s="34"/>
      <c r="AB22" s="30"/>
      <c r="AC22" s="34"/>
      <c r="AD22" s="35" t="e">
        <f t="shared" si="4"/>
        <v>#DIV/0!</v>
      </c>
    </row>
    <row r="23" ht="12.75" customHeight="1" spans="2:30" x14ac:dyDescent="0.25" outlineLevel="1" collapsed="1">
      <c r="B23" s="32">
        <v>334.2</v>
      </c>
      <c r="C23" s="32" t="s">
        <v>37</v>
      </c>
      <c r="D23" s="35"/>
      <c r="E23" s="33"/>
      <c r="F23" s="3"/>
      <c r="G23" s="34"/>
      <c r="H23" s="3"/>
      <c r="I23" s="34"/>
      <c r="J23" s="3"/>
      <c r="K23" s="34"/>
      <c r="L23" s="3"/>
      <c r="M23" s="34"/>
      <c r="N23" s="3"/>
      <c r="O23" s="34"/>
      <c r="P23" s="3"/>
      <c r="Q23" s="34"/>
      <c r="R23" s="3"/>
      <c r="S23" s="34"/>
      <c r="T23" s="3"/>
      <c r="U23" s="34"/>
      <c r="V23" s="3"/>
      <c r="W23" s="34"/>
      <c r="X23" s="3"/>
      <c r="Y23" s="34"/>
      <c r="Z23" s="3"/>
      <c r="AA23" s="34"/>
      <c r="AB23" s="30"/>
      <c r="AC23" s="34"/>
      <c r="AD23" s="35" t="e">
        <f t="shared" si="4"/>
        <v>#DIV/0!</v>
      </c>
    </row>
    <row r="24" ht="12.75" customHeight="1" spans="2:30" x14ac:dyDescent="0.25" outlineLevel="1" collapsed="1">
      <c r="B24" s="32">
        <v>331</v>
      </c>
      <c r="C24" s="32" t="s">
        <v>38</v>
      </c>
      <c r="D24" s="35"/>
      <c r="E24" s="33"/>
      <c r="F24" s="3"/>
      <c r="G24" s="34"/>
      <c r="H24" s="3"/>
      <c r="I24" s="34"/>
      <c r="J24" s="3"/>
      <c r="K24" s="34"/>
      <c r="L24" s="3"/>
      <c r="M24" s="34"/>
      <c r="N24" s="3"/>
      <c r="O24" s="34"/>
      <c r="P24" s="3"/>
      <c r="Q24" s="34"/>
      <c r="R24" s="3"/>
      <c r="S24" s="34"/>
      <c r="T24" s="3"/>
      <c r="U24" s="34"/>
      <c r="V24" s="3"/>
      <c r="W24" s="34"/>
      <c r="X24" s="3"/>
      <c r="Y24" s="34"/>
      <c r="Z24" s="3"/>
      <c r="AA24" s="34"/>
      <c r="AB24" s="30"/>
      <c r="AC24" s="34"/>
      <c r="AD24" s="35" t="e">
        <f t="shared" si="4"/>
        <v>#DIV/0!</v>
      </c>
    </row>
    <row r="25" ht="12.75" customHeight="1" spans="2:30" x14ac:dyDescent="0.25" outlineLevel="1" collapsed="1">
      <c r="B25" s="32" t="s">
        <v>115</v>
      </c>
      <c r="C25" s="32" t="s">
        <v>39</v>
      </c>
      <c r="D25" s="35"/>
      <c r="E25" s="33"/>
      <c r="F25" s="3"/>
      <c r="G25" s="34"/>
      <c r="H25" s="3"/>
      <c r="I25" s="34"/>
      <c r="J25" s="3"/>
      <c r="K25" s="34"/>
      <c r="L25" s="3"/>
      <c r="M25" s="34"/>
      <c r="N25" s="3"/>
      <c r="O25" s="43"/>
      <c r="P25" s="3"/>
      <c r="Q25" s="34"/>
      <c r="R25" s="3"/>
      <c r="S25" s="34"/>
      <c r="T25" s="3"/>
      <c r="U25" s="34"/>
      <c r="V25" s="3"/>
      <c r="W25" s="34"/>
      <c r="X25" s="3"/>
      <c r="Y25" s="34"/>
      <c r="Z25" s="3"/>
      <c r="AA25" s="34"/>
      <c r="AB25" s="30"/>
      <c r="AC25" s="34"/>
      <c r="AD25" s="35" t="e">
        <f t="shared" si="4"/>
        <v>#DIV/0!</v>
      </c>
    </row>
    <row r="26" ht="12.75" customHeight="1" spans="2:30" x14ac:dyDescent="0.25" outlineLevel="1" collapsed="1">
      <c r="B26" s="32">
        <v>154</v>
      </c>
      <c r="C26" s="32" t="s">
        <v>40</v>
      </c>
      <c r="D26" s="35"/>
      <c r="E26" s="33"/>
      <c r="F26" s="3"/>
      <c r="G26" s="34"/>
      <c r="H26" s="3"/>
      <c r="I26" s="34"/>
      <c r="J26" s="3"/>
      <c r="K26" s="34"/>
      <c r="L26" s="3"/>
      <c r="M26" s="34"/>
      <c r="N26" s="3"/>
      <c r="O26" s="43"/>
      <c r="P26" s="3"/>
      <c r="Q26" s="34"/>
      <c r="R26" s="3"/>
      <c r="S26" s="34"/>
      <c r="T26" s="3"/>
      <c r="U26" s="34"/>
      <c r="V26" s="3"/>
      <c r="W26" s="34"/>
      <c r="X26" s="3"/>
      <c r="Y26" s="34"/>
      <c r="Z26" s="3"/>
      <c r="AA26" s="34"/>
      <c r="AB26" s="30"/>
      <c r="AC26" s="34"/>
      <c r="AD26" s="35" t="e">
        <f t="shared" si="4"/>
        <v>#DIV/0!</v>
      </c>
    </row>
    <row r="27" ht="12.75" customHeight="1" spans="2:30" x14ac:dyDescent="0.25">
      <c r="B27" s="44" t="s">
        <v>41</v>
      </c>
      <c r="C27" s="45"/>
      <c r="D27" s="31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1" t="e">
        <f t="shared" si="4"/>
        <v>#DIV/0!</v>
      </c>
    </row>
    <row r="28" ht="12.75" customHeight="1" spans="1:30" x14ac:dyDescent="0.25" outlineLevel="1" collapsed="1">
      <c r="A28" s="32" t="s">
        <v>42</v>
      </c>
      <c r="B28" s="45">
        <v>242</v>
      </c>
      <c r="C28" s="45" t="s">
        <v>43</v>
      </c>
      <c r="D28" s="35"/>
      <c r="E28" s="33"/>
      <c r="F28" s="3"/>
      <c r="G28" s="34"/>
      <c r="H28" s="3"/>
      <c r="I28" s="34"/>
      <c r="J28" s="3"/>
      <c r="K28" s="34"/>
      <c r="L28" s="3"/>
      <c r="M28" s="34"/>
      <c r="N28" s="3"/>
      <c r="O28" s="43"/>
      <c r="P28" s="3"/>
      <c r="Q28" s="34"/>
      <c r="R28" s="3"/>
      <c r="S28" s="34"/>
      <c r="T28" s="3"/>
      <c r="U28" s="34"/>
      <c r="V28" s="3"/>
      <c r="W28" s="34"/>
      <c r="X28" s="3"/>
      <c r="Y28" s="34"/>
      <c r="Z28" s="3"/>
      <c r="AA28" s="34"/>
      <c r="AB28" s="30"/>
      <c r="AC28" s="34"/>
      <c r="AD28" s="35" t="e">
        <f t="shared" si="4"/>
        <v>#DIV/0!</v>
      </c>
    </row>
    <row r="29" ht="12.75" customHeight="1" spans="2:32" x14ac:dyDescent="0.25" outlineLevel="1" collapsed="1">
      <c r="B29" s="32">
        <v>6422.2</v>
      </c>
      <c r="C29" s="32" t="s">
        <v>44</v>
      </c>
      <c r="D29" s="35"/>
      <c r="E29" s="33"/>
      <c r="F29" s="3"/>
      <c r="G29" s="34"/>
      <c r="H29" s="3"/>
      <c r="I29" s="34"/>
      <c r="J29" s="3"/>
      <c r="K29" s="34"/>
      <c r="L29" s="3"/>
      <c r="M29" s="34"/>
      <c r="N29" s="3"/>
      <c r="O29" s="43"/>
      <c r="P29" s="3"/>
      <c r="Q29" s="34"/>
      <c r="R29" s="3"/>
      <c r="S29" s="34"/>
      <c r="T29" s="3"/>
      <c r="U29" s="34"/>
      <c r="V29" s="3"/>
      <c r="W29" s="34"/>
      <c r="X29" s="3"/>
      <c r="Y29" s="34"/>
      <c r="Z29" s="3"/>
      <c r="AA29" s="34"/>
      <c r="AB29" s="30"/>
      <c r="AC29" s="34"/>
      <c r="AD29" s="35" t="e">
        <f t="shared" si="4"/>
        <v>#DIV/0!</v>
      </c>
      <c r="AF29" s="34"/>
    </row>
    <row r="30" ht="12.75" customHeight="1" spans="2:30" x14ac:dyDescent="0.25" outlineLevel="1" collapsed="1">
      <c r="B30" s="32">
        <v>6422.3</v>
      </c>
      <c r="C30" s="32" t="s">
        <v>45</v>
      </c>
      <c r="D30" s="35"/>
      <c r="E30" s="33"/>
      <c r="F30" s="3"/>
      <c r="G30" s="34"/>
      <c r="H30" s="3"/>
      <c r="I30" s="34"/>
      <c r="J30" s="3"/>
      <c r="K30" s="34"/>
      <c r="L30" s="3"/>
      <c r="M30" s="34"/>
      <c r="N30" s="3"/>
      <c r="O30" s="43"/>
      <c r="P30" s="3"/>
      <c r="Q30" s="34"/>
      <c r="R30" s="3"/>
      <c r="S30" s="34"/>
      <c r="T30" s="3"/>
      <c r="U30" s="34"/>
      <c r="V30" s="3"/>
      <c r="W30" s="34"/>
      <c r="X30" s="3"/>
      <c r="Y30" s="34"/>
      <c r="Z30" s="3"/>
      <c r="AA30" s="34"/>
      <c r="AB30" s="30"/>
      <c r="AC30" s="34"/>
      <c r="AD30" s="35" t="e">
        <f t="shared" si="4"/>
        <v>#DIV/0!</v>
      </c>
    </row>
    <row r="31" ht="12.75" customHeight="1" spans="2:42" x14ac:dyDescent="0.25">
      <c r="B31" s="27" t="s">
        <v>47</v>
      </c>
      <c r="C31" s="27"/>
      <c r="D31" s="31"/>
      <c r="E31" s="2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"/>
      <c r="AA31" s="30"/>
      <c r="AB31" s="30"/>
      <c r="AC31" s="30"/>
      <c r="AD31" s="31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2">
        <v>6421.1</v>
      </c>
      <c r="C32" s="32" t="s">
        <v>48</v>
      </c>
      <c r="D32" s="35"/>
      <c r="E32" s="33"/>
      <c r="F32" s="3"/>
      <c r="G32" s="34"/>
      <c r="H32" s="3"/>
      <c r="I32" s="34"/>
      <c r="J32" s="3"/>
      <c r="K32" s="34"/>
      <c r="L32" s="3"/>
      <c r="M32" s="34"/>
      <c r="N32" s="3"/>
      <c r="O32" s="43"/>
      <c r="P32" s="3"/>
      <c r="Q32" s="34"/>
      <c r="R32" s="3"/>
      <c r="S32" s="34"/>
      <c r="T32" s="3"/>
      <c r="U32" s="34"/>
      <c r="V32" s="3"/>
      <c r="W32" s="34"/>
      <c r="X32" s="3"/>
      <c r="Y32" s="34"/>
      <c r="Z32" s="3"/>
      <c r="AA32" s="34"/>
      <c r="AB32" s="30"/>
      <c r="AC32" s="34"/>
      <c r="AD32" s="35" t="e">
        <f t="shared" si="4"/>
        <v>#DIV/0!</v>
      </c>
    </row>
    <row r="33" ht="12.75" customHeight="1" hidden="1" spans="1:30" x14ac:dyDescent="0.25" outlineLevel="1" collapsed="1">
      <c r="A33" s="32"/>
      <c r="B33" s="32">
        <v>6422.4</v>
      </c>
      <c r="C33" s="32" t="s">
        <v>49</v>
      </c>
      <c r="D33" s="35"/>
      <c r="E33" s="33"/>
      <c r="F33" s="3"/>
      <c r="G33" s="34"/>
      <c r="H33" s="3"/>
      <c r="I33" s="34"/>
      <c r="J33" s="3"/>
      <c r="K33" s="34"/>
      <c r="L33" s="3"/>
      <c r="M33" s="34"/>
      <c r="N33" s="3"/>
      <c r="O33" s="43"/>
      <c r="P33" s="3"/>
      <c r="Q33" s="34"/>
      <c r="R33" s="3"/>
      <c r="S33" s="34"/>
      <c r="T33" s="3"/>
      <c r="U33" s="34"/>
      <c r="V33" s="3"/>
      <c r="W33" s="34"/>
      <c r="X33" s="3"/>
      <c r="Y33" s="34"/>
      <c r="Z33" s="3"/>
      <c r="AA33" s="34"/>
      <c r="AB33" s="30"/>
      <c r="AC33" s="34"/>
      <c r="AD33" s="35" t="e">
        <f t="shared" si="4"/>
        <v>#DIV/0!</v>
      </c>
    </row>
    <row r="34" ht="12.75" customHeight="1" spans="1:30" x14ac:dyDescent="0.25">
      <c r="A34" s="32"/>
      <c r="B34" s="27" t="s">
        <v>50</v>
      </c>
      <c r="C34" s="48"/>
      <c r="D34" s="31"/>
      <c r="E34" s="2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1" t="e">
        <f t="shared" si="4"/>
        <v>#DIV/0!</v>
      </c>
    </row>
    <row r="35" ht="12.75" customHeight="1" spans="1:30" x14ac:dyDescent="0.25" outlineLevel="1" collapsed="1">
      <c r="A35" s="32">
        <v>6421.2</v>
      </c>
      <c r="B35" s="32">
        <v>334.5</v>
      </c>
      <c r="C35" s="32" t="s">
        <v>51</v>
      </c>
      <c r="D35" s="35"/>
      <c r="E35" s="33"/>
      <c r="F35" s="3"/>
      <c r="G35" s="34"/>
      <c r="H35" s="3"/>
      <c r="I35" s="34"/>
      <c r="J35" s="3"/>
      <c r="K35" s="34"/>
      <c r="L35" s="3"/>
      <c r="M35" s="34"/>
      <c r="N35" s="3"/>
      <c r="O35" s="43"/>
      <c r="P35" s="3"/>
      <c r="Q35" s="34"/>
      <c r="R35" s="3"/>
      <c r="S35" s="34"/>
      <c r="T35" s="3"/>
      <c r="U35" s="34"/>
      <c r="V35" s="3"/>
      <c r="W35" s="34"/>
      <c r="X35" s="3"/>
      <c r="Y35" s="34"/>
      <c r="Z35" s="3"/>
      <c r="AA35" s="34"/>
      <c r="AB35" s="30"/>
      <c r="AC35" s="34"/>
      <c r="AD35" s="35" t="e">
        <f t="shared" si="4"/>
        <v>#DIV/0!</v>
      </c>
    </row>
    <row r="36" ht="12.75" customHeight="1" spans="1:30" x14ac:dyDescent="0.25" outlineLevel="1" collapsed="1">
      <c r="A36" s="27"/>
      <c r="B36" s="32">
        <v>6422.5</v>
      </c>
      <c r="C36" s="32" t="s">
        <v>52</v>
      </c>
      <c r="D36" s="35"/>
      <c r="E36" s="33"/>
      <c r="F36" s="3"/>
      <c r="G36" s="34"/>
      <c r="H36" s="3"/>
      <c r="I36" s="34"/>
      <c r="J36" s="3"/>
      <c r="K36" s="34"/>
      <c r="L36" s="3"/>
      <c r="M36" s="34"/>
      <c r="N36" s="3"/>
      <c r="O36" s="43"/>
      <c r="P36" s="3"/>
      <c r="Q36" s="34"/>
      <c r="R36" s="3"/>
      <c r="S36" s="34"/>
      <c r="T36" s="3"/>
      <c r="U36" s="34"/>
      <c r="V36" s="3"/>
      <c r="W36" s="34"/>
      <c r="X36" s="3"/>
      <c r="Y36" s="34"/>
      <c r="Z36" s="3"/>
      <c r="AA36" s="34"/>
      <c r="AB36" s="30"/>
      <c r="AC36" s="34"/>
      <c r="AD36" s="35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1"/>
      <c r="E37" s="33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1" t="e">
        <f t="shared" si="4"/>
        <v>#DIV/0!</v>
      </c>
    </row>
    <row r="38" ht="12.75" customHeight="1" spans="1:30" x14ac:dyDescent="0.25" outlineLevel="1" collapsed="1">
      <c r="A38" s="32">
        <v>6422.6</v>
      </c>
      <c r="B38" s="32">
        <v>334.3</v>
      </c>
      <c r="C38" s="32" t="s">
        <v>54</v>
      </c>
      <c r="D38" s="35"/>
      <c r="E38" s="33"/>
      <c r="F38" s="3"/>
      <c r="G38" s="34"/>
      <c r="H38" s="3"/>
      <c r="I38" s="34"/>
      <c r="J38" s="3"/>
      <c r="K38" s="34"/>
      <c r="L38" s="3"/>
      <c r="M38" s="34"/>
      <c r="N38" s="3"/>
      <c r="O38" s="43"/>
      <c r="P38" s="3"/>
      <c r="Q38" s="34"/>
      <c r="R38" s="3"/>
      <c r="S38" s="34"/>
      <c r="T38" s="3"/>
      <c r="U38" s="34"/>
      <c r="V38" s="3"/>
      <c r="W38" s="34"/>
      <c r="X38" s="3"/>
      <c r="Y38" s="34"/>
      <c r="Z38" s="3"/>
      <c r="AA38" s="34"/>
      <c r="AB38" s="30"/>
      <c r="AC38" s="34"/>
      <c r="AD38" s="35" t="e">
        <f t="shared" si="4"/>
        <v>#DIV/0!</v>
      </c>
    </row>
    <row r="39" ht="12.75" customHeight="1" spans="1:30" x14ac:dyDescent="0.25" outlineLevel="1" collapsed="1">
      <c r="A39" s="27"/>
      <c r="B39" s="32">
        <v>6422.7</v>
      </c>
      <c r="C39" s="32" t="s">
        <v>55</v>
      </c>
      <c r="D39" s="35"/>
      <c r="E39" s="33"/>
      <c r="F39" s="3"/>
      <c r="G39" s="34"/>
      <c r="H39" s="3"/>
      <c r="I39" s="34"/>
      <c r="J39" s="3"/>
      <c r="K39" s="34"/>
      <c r="L39" s="3"/>
      <c r="M39" s="34"/>
      <c r="N39" s="3"/>
      <c r="O39" s="43"/>
      <c r="P39" s="3"/>
      <c r="Q39" s="34"/>
      <c r="R39" s="3"/>
      <c r="S39" s="34"/>
      <c r="T39" s="3"/>
      <c r="U39" s="34"/>
      <c r="V39" s="3"/>
      <c r="W39" s="34"/>
      <c r="X39" s="3"/>
      <c r="Y39" s="34"/>
      <c r="Z39" s="3"/>
      <c r="AA39" s="34"/>
      <c r="AB39" s="30"/>
      <c r="AC39" s="34"/>
      <c r="AD39" s="35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1"/>
      <c r="E40" s="29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1" t="e">
        <f t="shared" si="4"/>
        <v>#DIV/0!</v>
      </c>
      <c r="AE40" s="32">
        <f>8/100*E10</f>
        <v>0</v>
      </c>
      <c r="AF40" s="34">
        <f>AE40-E40-E47</f>
        <v>0</v>
      </c>
    </row>
    <row r="41" ht="12.75" customHeight="1" spans="1:30" x14ac:dyDescent="0.25" outlineLevel="1" collapsed="1">
      <c r="A41" s="32">
        <v>6421.3</v>
      </c>
      <c r="B41" s="32">
        <v>334.6</v>
      </c>
      <c r="C41" s="32" t="s">
        <v>57</v>
      </c>
      <c r="D41" s="35"/>
      <c r="E41" s="33"/>
      <c r="F41" s="3"/>
      <c r="G41" s="34"/>
      <c r="H41" s="3"/>
      <c r="I41" s="34"/>
      <c r="J41" s="3"/>
      <c r="K41" s="34"/>
      <c r="L41" s="3"/>
      <c r="M41" s="34"/>
      <c r="N41" s="3"/>
      <c r="O41" s="43"/>
      <c r="P41" s="3"/>
      <c r="Q41" s="34"/>
      <c r="R41" s="3"/>
      <c r="S41" s="34"/>
      <c r="T41" s="3"/>
      <c r="U41" s="34"/>
      <c r="V41" s="3"/>
      <c r="W41" s="34"/>
      <c r="X41" s="3"/>
      <c r="Y41" s="34"/>
      <c r="Z41" s="3"/>
      <c r="AA41" s="34"/>
      <c r="AB41" s="30"/>
      <c r="AC41" s="34"/>
      <c r="AD41" s="35" t="e">
        <f t="shared" si="4"/>
        <v>#DIV/0!</v>
      </c>
    </row>
    <row r="42" ht="12.75" customHeight="1" spans="1:30" x14ac:dyDescent="0.25" outlineLevel="1" collapsed="1">
      <c r="A42" s="32">
        <v>6421.4</v>
      </c>
      <c r="C42" s="32" t="s">
        <v>58</v>
      </c>
      <c r="D42" s="35"/>
      <c r="E42" s="33"/>
      <c r="F42" s="3"/>
      <c r="G42" s="34"/>
      <c r="H42" s="3"/>
      <c r="I42" s="34"/>
      <c r="J42" s="3"/>
      <c r="K42" s="34"/>
      <c r="L42" s="3"/>
      <c r="M42" s="34"/>
      <c r="N42" s="3"/>
      <c r="O42" s="43"/>
      <c r="P42" s="3"/>
      <c r="Q42" s="34"/>
      <c r="R42" s="3"/>
      <c r="S42" s="34"/>
      <c r="T42" s="3"/>
      <c r="U42" s="34"/>
      <c r="V42" s="3"/>
      <c r="W42" s="34"/>
      <c r="X42" s="3"/>
      <c r="Y42" s="34"/>
      <c r="Z42" s="3"/>
      <c r="AA42" s="34"/>
      <c r="AB42" s="30"/>
      <c r="AC42" s="34"/>
      <c r="AD42" s="35" t="e">
        <f t="shared" si="4"/>
        <v>#DIV/0!</v>
      </c>
    </row>
    <row r="43" ht="12.75" customHeight="1" spans="1:30" x14ac:dyDescent="0.25" outlineLevel="1" collapsed="1">
      <c r="A43" s="32">
        <v>6421.5</v>
      </c>
      <c r="C43" s="32" t="s">
        <v>59</v>
      </c>
      <c r="D43" s="35"/>
      <c r="E43" s="33"/>
      <c r="F43" s="3"/>
      <c r="G43" s="34"/>
      <c r="H43" s="3"/>
      <c r="I43" s="34"/>
      <c r="J43" s="3"/>
      <c r="K43" s="34"/>
      <c r="L43" s="3"/>
      <c r="M43" s="34"/>
      <c r="N43" s="3"/>
      <c r="O43" s="43"/>
      <c r="P43" s="3"/>
      <c r="Q43" s="34"/>
      <c r="R43" s="3"/>
      <c r="S43" s="34"/>
      <c r="T43" s="3"/>
      <c r="U43" s="34"/>
      <c r="V43" s="3"/>
      <c r="W43" s="34"/>
      <c r="X43" s="3"/>
      <c r="Y43" s="34"/>
      <c r="Z43" s="3"/>
      <c r="AA43" s="34"/>
      <c r="AB43" s="30"/>
      <c r="AC43" s="34"/>
      <c r="AD43" s="35" t="e">
        <f t="shared" si="4"/>
        <v>#DIV/0!</v>
      </c>
    </row>
    <row r="44" ht="12.75" customHeight="1" spans="1:30" x14ac:dyDescent="0.25" outlineLevel="1" collapsed="1">
      <c r="A44" s="32">
        <v>6421.6</v>
      </c>
      <c r="C44" s="32" t="s">
        <v>60</v>
      </c>
      <c r="D44" s="35"/>
      <c r="E44" s="33"/>
      <c r="F44" s="3"/>
      <c r="G44" s="34"/>
      <c r="H44" s="3"/>
      <c r="I44" s="34"/>
      <c r="J44" s="3"/>
      <c r="K44" s="34"/>
      <c r="L44" s="3"/>
      <c r="M44" s="34"/>
      <c r="N44" s="3"/>
      <c r="O44" s="43"/>
      <c r="P44" s="3"/>
      <c r="Q44" s="34"/>
      <c r="R44" s="3"/>
      <c r="S44" s="34"/>
      <c r="T44" s="3"/>
      <c r="U44" s="34"/>
      <c r="V44" s="3"/>
      <c r="W44" s="34"/>
      <c r="X44" s="3"/>
      <c r="Y44" s="34"/>
      <c r="Z44" s="30"/>
      <c r="AA44" s="34"/>
      <c r="AB44" s="30"/>
      <c r="AC44" s="34"/>
      <c r="AD44" s="35" t="e">
        <f t="shared" si="4"/>
        <v>#DIV/0!</v>
      </c>
    </row>
    <row r="45" ht="12.75" customHeight="1" spans="1:30" x14ac:dyDescent="0.25" outlineLevel="1" collapsed="1">
      <c r="A45" s="32">
        <v>6421.7</v>
      </c>
      <c r="B45" s="32"/>
      <c r="C45" s="32" t="s">
        <v>61</v>
      </c>
      <c r="D45" s="35"/>
      <c r="E45" s="33"/>
      <c r="F45" s="3"/>
      <c r="G45" s="34"/>
      <c r="H45" s="3"/>
      <c r="I45" s="34"/>
      <c r="J45" s="3"/>
      <c r="K45" s="34"/>
      <c r="L45" s="3"/>
      <c r="M45" s="34"/>
      <c r="N45" s="3"/>
      <c r="O45" s="43"/>
      <c r="P45" s="3"/>
      <c r="Q45" s="34"/>
      <c r="R45" s="3"/>
      <c r="S45" s="34"/>
      <c r="T45" s="3"/>
      <c r="U45" s="34"/>
      <c r="V45" s="3"/>
      <c r="W45" s="34"/>
      <c r="X45" s="3"/>
      <c r="Y45" s="34"/>
      <c r="Z45" s="3"/>
      <c r="AA45" s="34"/>
      <c r="AB45" s="30"/>
      <c r="AC45" s="34"/>
      <c r="AD45" s="35" t="e">
        <f t="shared" si="4"/>
        <v>#DIV/0!</v>
      </c>
    </row>
    <row r="46" ht="12.75" customHeight="1" spans="1:30" x14ac:dyDescent="0.25" outlineLevel="1" collapsed="1">
      <c r="A46" s="32">
        <v>154</v>
      </c>
      <c r="B46" s="32"/>
      <c r="C46" s="32" t="s">
        <v>62</v>
      </c>
      <c r="D46" s="35"/>
      <c r="E46" s="33"/>
      <c r="F46" s="3"/>
      <c r="G46" s="34"/>
      <c r="H46" s="3"/>
      <c r="I46" s="34"/>
      <c r="J46" s="3"/>
      <c r="K46" s="34"/>
      <c r="L46" s="3"/>
      <c r="M46" s="34"/>
      <c r="N46" s="3"/>
      <c r="O46" s="43"/>
      <c r="P46" s="3"/>
      <c r="Q46" s="34"/>
      <c r="R46" s="3"/>
      <c r="S46" s="34"/>
      <c r="T46" s="3"/>
      <c r="U46" s="34"/>
      <c r="V46" s="3"/>
      <c r="W46" s="34"/>
      <c r="X46" s="3"/>
      <c r="Y46" s="34"/>
      <c r="Z46" s="3"/>
      <c r="AA46" s="34"/>
      <c r="AB46" s="30"/>
      <c r="AC46" s="34"/>
      <c r="AD46" s="35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1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1" t="e">
        <f t="shared" si="4"/>
        <v>#DIV/0!</v>
      </c>
    </row>
    <row r="48" ht="12.75" customHeight="1" spans="1:30" x14ac:dyDescent="0.25" outlineLevel="1" collapsed="1">
      <c r="A48" s="32" t="s">
        <v>64</v>
      </c>
      <c r="B48" s="32">
        <v>334.7</v>
      </c>
      <c r="C48" s="32" t="s">
        <v>65</v>
      </c>
      <c r="D48" s="35"/>
      <c r="E48" s="33"/>
      <c r="F48" s="3"/>
      <c r="G48" s="34"/>
      <c r="H48" s="3"/>
      <c r="I48" s="34"/>
      <c r="J48" s="3"/>
      <c r="K48" s="34"/>
      <c r="L48" s="3"/>
      <c r="M48" s="34"/>
      <c r="N48" s="3"/>
      <c r="O48" s="43"/>
      <c r="P48" s="3"/>
      <c r="Q48" s="34"/>
      <c r="R48" s="3"/>
      <c r="S48" s="34"/>
      <c r="T48" s="3"/>
      <c r="U48" s="34"/>
      <c r="V48" s="3"/>
      <c r="W48" s="34"/>
      <c r="X48" s="3"/>
      <c r="Y48" s="34"/>
      <c r="Z48" s="3"/>
      <c r="AA48" s="34"/>
      <c r="AB48" s="30"/>
      <c r="AC48" s="34"/>
      <c r="AD48" s="35" t="e">
        <f t="shared" si="4"/>
        <v>#DIV/0!</v>
      </c>
    </row>
    <row r="49" ht="17.25" customHeight="1" spans="1:30" x14ac:dyDescent="0.25" outlineLevel="1" collapsed="1">
      <c r="A49" s="32">
        <v>6421.8</v>
      </c>
      <c r="B49" s="27"/>
      <c r="C49" s="32" t="s">
        <v>66</v>
      </c>
      <c r="D49" s="35"/>
      <c r="E49" s="33"/>
      <c r="F49" s="3"/>
      <c r="G49" s="34"/>
      <c r="H49" s="3"/>
      <c r="I49" s="34"/>
      <c r="J49" s="3"/>
      <c r="K49" s="34"/>
      <c r="L49" s="3"/>
      <c r="M49" s="34"/>
      <c r="N49" s="3"/>
      <c r="O49" s="43"/>
      <c r="P49" s="3"/>
      <c r="Q49" s="34"/>
      <c r="R49" s="3"/>
      <c r="S49" s="34"/>
      <c r="T49" s="3"/>
      <c r="U49" s="34"/>
      <c r="V49" s="3"/>
      <c r="W49" s="34"/>
      <c r="X49" s="3"/>
      <c r="Y49" s="34"/>
      <c r="Z49" s="3"/>
      <c r="AA49" s="34"/>
      <c r="AB49" s="30"/>
      <c r="AC49" s="34"/>
      <c r="AD49" s="35" t="e">
        <f t="shared" si="4"/>
        <v>#DIV/0!</v>
      </c>
    </row>
    <row r="50" ht="17.25" customHeight="1" spans="1:30" x14ac:dyDescent="0.25" outlineLevel="1" collapsed="1">
      <c r="A50" s="32">
        <v>6421.9</v>
      </c>
      <c r="B50" s="27"/>
      <c r="C50" s="32" t="s">
        <v>67</v>
      </c>
      <c r="D50" s="35"/>
      <c r="E50" s="33"/>
      <c r="F50" s="3"/>
      <c r="G50" s="34"/>
      <c r="H50" s="3"/>
      <c r="I50" s="34"/>
      <c r="J50" s="3"/>
      <c r="K50" s="34"/>
      <c r="L50" s="3"/>
      <c r="M50" s="34"/>
      <c r="N50" s="3"/>
      <c r="O50" s="43"/>
      <c r="P50" s="3"/>
      <c r="Q50" s="34"/>
      <c r="R50" s="3"/>
      <c r="S50" s="34"/>
      <c r="T50" s="3"/>
      <c r="U50" s="34"/>
      <c r="V50" s="3"/>
      <c r="W50" s="34"/>
      <c r="X50" s="3"/>
      <c r="Y50" s="34"/>
      <c r="Z50" s="3"/>
      <c r="AA50" s="34"/>
      <c r="AB50" s="30"/>
      <c r="AC50" s="34"/>
      <c r="AD50" s="35" t="e">
        <f t="shared" si="4"/>
        <v>#DIV/0!</v>
      </c>
    </row>
    <row r="51" ht="17.25" customHeight="1" spans="1:30" x14ac:dyDescent="0.25" outlineLevel="1" collapsed="1">
      <c r="A51" s="49">
        <v>1651537</v>
      </c>
      <c r="B51" s="27"/>
      <c r="C51" s="32" t="s">
        <v>68</v>
      </c>
      <c r="D51" s="35"/>
      <c r="E51" s="33"/>
      <c r="F51" s="3"/>
      <c r="G51" s="34"/>
      <c r="H51" s="3"/>
      <c r="I51" s="34"/>
      <c r="J51" s="3"/>
      <c r="K51" s="34"/>
      <c r="L51" s="3"/>
      <c r="M51" s="34"/>
      <c r="N51" s="3"/>
      <c r="O51" s="43"/>
      <c r="P51" s="3"/>
      <c r="Q51" s="34"/>
      <c r="R51" s="3"/>
      <c r="S51" s="34"/>
      <c r="T51" s="3"/>
      <c r="U51" s="34"/>
      <c r="V51" s="3"/>
      <c r="W51" s="34"/>
      <c r="X51" s="3"/>
      <c r="Y51" s="34"/>
      <c r="Z51" s="3"/>
      <c r="AA51" s="34"/>
      <c r="AB51" s="30"/>
      <c r="AC51" s="34"/>
      <c r="AD51" s="35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1"/>
      <c r="E52" s="29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1" t="e">
        <f t="shared" si="4"/>
        <v>#DIV/0!</v>
      </c>
    </row>
    <row r="53" ht="17.25" customHeight="1" spans="1:30" x14ac:dyDescent="0.25" outlineLevel="1" collapsed="1">
      <c r="A53" s="49">
        <v>1651902</v>
      </c>
      <c r="B53" s="49">
        <v>1651902</v>
      </c>
      <c r="C53" s="32" t="s">
        <v>70</v>
      </c>
      <c r="D53" s="35"/>
      <c r="E53" s="33"/>
      <c r="F53" s="3"/>
      <c r="G53" s="34"/>
      <c r="H53" s="3"/>
      <c r="I53" s="34"/>
      <c r="J53" s="3"/>
      <c r="K53" s="34"/>
      <c r="L53" s="3"/>
      <c r="M53" s="34"/>
      <c r="N53" s="3"/>
      <c r="O53" s="43"/>
      <c r="P53" s="3"/>
      <c r="Q53" s="34"/>
      <c r="R53" s="3"/>
      <c r="S53" s="34"/>
      <c r="T53" s="3"/>
      <c r="U53" s="34"/>
      <c r="V53" s="3"/>
      <c r="W53" s="34"/>
      <c r="X53" s="3"/>
      <c r="Y53" s="34"/>
      <c r="Z53" s="3"/>
      <c r="AA53" s="34"/>
      <c r="AB53" s="30"/>
      <c r="AC53" s="34"/>
      <c r="AD53" s="35" t="e">
        <f t="shared" si="4"/>
        <v>#DIV/0!</v>
      </c>
    </row>
    <row r="54" ht="17.25" customHeight="1" spans="1:30" x14ac:dyDescent="0.25" outlineLevel="1" collapsed="1">
      <c r="A54" s="49">
        <v>1651933</v>
      </c>
      <c r="B54" s="49">
        <v>1651933</v>
      </c>
      <c r="C54" s="32" t="s">
        <v>71</v>
      </c>
      <c r="D54" s="35"/>
      <c r="E54" s="33"/>
      <c r="F54" s="3"/>
      <c r="G54" s="34"/>
      <c r="H54" s="3"/>
      <c r="I54" s="34"/>
      <c r="J54" s="3"/>
      <c r="K54" s="34"/>
      <c r="L54" s="3"/>
      <c r="M54" s="34"/>
      <c r="N54" s="3"/>
      <c r="O54" s="43"/>
      <c r="P54" s="3"/>
      <c r="Q54" s="34"/>
      <c r="R54" s="3"/>
      <c r="S54" s="34"/>
      <c r="T54" s="3"/>
      <c r="U54" s="34"/>
      <c r="V54" s="3"/>
      <c r="W54" s="34"/>
      <c r="X54" s="3"/>
      <c r="Y54" s="34"/>
      <c r="Z54" s="3"/>
      <c r="AA54" s="34"/>
      <c r="AB54" s="30"/>
      <c r="AC54" s="34"/>
      <c r="AD54" s="35" t="e">
        <f t="shared" si="4"/>
        <v>#DIV/0!</v>
      </c>
    </row>
    <row r="55" ht="17.25" customHeight="1" spans="1:30" x14ac:dyDescent="0.25" outlineLevel="1" collapsed="1">
      <c r="A55" s="49">
        <v>1651568</v>
      </c>
      <c r="B55" s="27"/>
      <c r="C55" s="32" t="s">
        <v>72</v>
      </c>
      <c r="D55" s="35"/>
      <c r="E55" s="33"/>
      <c r="F55" s="3"/>
      <c r="G55" s="34"/>
      <c r="H55" s="3"/>
      <c r="I55" s="34"/>
      <c r="J55" s="3"/>
      <c r="K55" s="34"/>
      <c r="L55" s="3"/>
      <c r="M55" s="34"/>
      <c r="N55" s="3"/>
      <c r="O55" s="43"/>
      <c r="P55" s="3"/>
      <c r="Q55" s="34"/>
      <c r="R55" s="3"/>
      <c r="S55" s="34"/>
      <c r="T55" s="3"/>
      <c r="U55" s="34"/>
      <c r="V55" s="3"/>
      <c r="W55" s="34"/>
      <c r="X55" s="3"/>
      <c r="Y55" s="34"/>
      <c r="Z55" s="3"/>
      <c r="AA55" s="34"/>
      <c r="AB55" s="30"/>
      <c r="AC55" s="34"/>
      <c r="AD55" s="35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1"/>
      <c r="E56" s="29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1" t="e">
        <f t="shared" si="4"/>
        <v>#DIV/0!</v>
      </c>
    </row>
    <row r="57" ht="17.25" customHeight="1" hidden="1" spans="1:30" x14ac:dyDescent="0.25" outlineLevel="1" collapsed="1">
      <c r="A57" s="32" t="s">
        <v>74</v>
      </c>
      <c r="C57" s="32" t="s">
        <v>75</v>
      </c>
      <c r="D57" s="35"/>
      <c r="E57" s="33"/>
      <c r="F57" s="3"/>
      <c r="G57" s="34"/>
      <c r="H57" s="3"/>
      <c r="I57" s="34"/>
      <c r="J57" s="3"/>
      <c r="K57" s="34"/>
      <c r="L57" s="3"/>
      <c r="M57" s="34"/>
      <c r="N57" s="3"/>
      <c r="O57" s="43"/>
      <c r="P57" s="3"/>
      <c r="Q57" s="34"/>
      <c r="R57" s="3"/>
      <c r="S57" s="34"/>
      <c r="T57" s="3"/>
      <c r="U57" s="34"/>
      <c r="V57" s="3"/>
      <c r="W57" s="34"/>
      <c r="X57" s="3"/>
      <c r="Y57" s="34"/>
      <c r="Z57" s="3"/>
      <c r="AA57" s="34"/>
      <c r="AB57" s="30"/>
      <c r="AC57" s="34"/>
      <c r="AD57" s="35" t="e">
        <f t="shared" si="4"/>
        <v>#DIV/0!</v>
      </c>
    </row>
    <row r="58" ht="17.25" customHeight="1" hidden="1" spans="1:30" x14ac:dyDescent="0.25" outlineLevel="1" collapsed="1">
      <c r="A58" s="32">
        <v>3383</v>
      </c>
      <c r="C58" s="32" t="s">
        <v>76</v>
      </c>
      <c r="D58" s="35"/>
      <c r="E58" s="33"/>
      <c r="F58" s="3"/>
      <c r="G58" s="34"/>
      <c r="H58" s="3"/>
      <c r="I58" s="34"/>
      <c r="J58" s="3"/>
      <c r="K58" s="34"/>
      <c r="L58" s="3"/>
      <c r="M58" s="34"/>
      <c r="N58" s="3"/>
      <c r="O58" s="43"/>
      <c r="P58" s="3"/>
      <c r="Q58" s="34"/>
      <c r="R58" s="3"/>
      <c r="S58" s="34"/>
      <c r="T58" s="3"/>
      <c r="U58" s="34"/>
      <c r="V58" s="3"/>
      <c r="W58" s="34"/>
      <c r="X58" s="3"/>
      <c r="Y58" s="34"/>
      <c r="Z58" s="3"/>
      <c r="AA58" s="34"/>
      <c r="AB58" s="30"/>
      <c r="AC58" s="34"/>
      <c r="AD58" s="35" t="e">
        <f t="shared" si="4"/>
        <v>#DIV/0!</v>
      </c>
    </row>
    <row r="59" ht="17.25" customHeight="1" hidden="1" spans="1:30" x14ac:dyDescent="0.25" outlineLevel="1" collapsed="1">
      <c r="A59" s="32">
        <v>6422.8</v>
      </c>
      <c r="B59" s="32"/>
      <c r="C59" s="32" t="s">
        <v>77</v>
      </c>
      <c r="D59" s="35"/>
      <c r="E59" s="33"/>
      <c r="F59" s="3"/>
      <c r="G59" s="34"/>
      <c r="H59" s="3"/>
      <c r="I59" s="34"/>
      <c r="J59" s="3"/>
      <c r="K59" s="34"/>
      <c r="L59" s="3"/>
      <c r="M59" s="34"/>
      <c r="N59" s="3"/>
      <c r="O59" s="43"/>
      <c r="P59" s="3"/>
      <c r="Q59" s="34"/>
      <c r="R59" s="3"/>
      <c r="S59" s="34"/>
      <c r="T59" s="3"/>
      <c r="U59" s="34"/>
      <c r="V59" s="3"/>
      <c r="W59" s="34"/>
      <c r="X59" s="3"/>
      <c r="Y59" s="34"/>
      <c r="Z59" s="3"/>
      <c r="AA59" s="34"/>
      <c r="AB59" s="30"/>
      <c r="AC59" s="34"/>
      <c r="AD59" s="35" t="e">
        <f t="shared" si="4"/>
        <v>#DIV/0!</v>
      </c>
    </row>
    <row r="60" ht="17.25" customHeight="1" spans="1:42" x14ac:dyDescent="0.25">
      <c r="A60" s="27"/>
      <c r="B60" s="27" t="s">
        <v>78</v>
      </c>
      <c r="C60" s="32"/>
      <c r="D60" s="31"/>
      <c r="E60" s="29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1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2">
        <v>334.4</v>
      </c>
      <c r="B61" s="52" t="s">
        <v>79</v>
      </c>
      <c r="C61" s="53" t="s">
        <v>79</v>
      </c>
      <c r="D61" s="35"/>
      <c r="E61" s="33"/>
      <c r="F61" s="3"/>
      <c r="G61" s="34"/>
      <c r="H61" s="3"/>
      <c r="I61" s="34"/>
      <c r="J61" s="3"/>
      <c r="K61" s="34"/>
      <c r="L61" s="3"/>
      <c r="M61" s="34"/>
      <c r="N61" s="3"/>
      <c r="O61" s="34"/>
      <c r="P61" s="3"/>
      <c r="Q61" s="34"/>
      <c r="R61" s="3"/>
      <c r="S61" s="34"/>
      <c r="T61" s="3"/>
      <c r="U61" s="34"/>
      <c r="V61" s="3"/>
      <c r="W61" s="34"/>
      <c r="X61" s="3"/>
      <c r="Y61" s="34"/>
      <c r="Z61" s="3"/>
      <c r="AA61" s="34"/>
      <c r="AB61" s="30"/>
      <c r="AC61" s="34"/>
      <c r="AD61" s="35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2" t="s">
        <v>80</v>
      </c>
      <c r="B62" s="52" t="s">
        <v>81</v>
      </c>
      <c r="C62" s="53" t="s">
        <v>82</v>
      </c>
      <c r="D62" s="35"/>
      <c r="E62" s="33"/>
      <c r="F62" s="3"/>
      <c r="G62" s="34"/>
      <c r="H62" s="3"/>
      <c r="I62" s="34"/>
      <c r="J62" s="3"/>
      <c r="K62" s="34"/>
      <c r="L62" s="3"/>
      <c r="M62" s="34"/>
      <c r="N62" s="3"/>
      <c r="O62" s="34"/>
      <c r="P62" s="3"/>
      <c r="Q62" s="34"/>
      <c r="R62" s="3"/>
      <c r="S62" s="34"/>
      <c r="T62" s="3"/>
      <c r="U62" s="34"/>
      <c r="V62" s="3"/>
      <c r="W62" s="34"/>
      <c r="X62" s="3"/>
      <c r="Y62" s="34"/>
      <c r="Z62" s="3"/>
      <c r="AA62" s="34"/>
      <c r="AB62" s="30"/>
      <c r="AC62" s="34"/>
      <c r="AD62" s="35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2" t="s">
        <v>83</v>
      </c>
      <c r="B63" s="52" t="s">
        <v>84</v>
      </c>
      <c r="C63" s="53" t="s">
        <v>85</v>
      </c>
      <c r="D63" s="35"/>
      <c r="E63" s="33"/>
      <c r="F63" s="3"/>
      <c r="G63" s="34"/>
      <c r="H63" s="3"/>
      <c r="I63" s="34"/>
      <c r="J63" s="3"/>
      <c r="K63" s="34"/>
      <c r="L63" s="3"/>
      <c r="M63" s="34"/>
      <c r="N63" s="3"/>
      <c r="O63" s="34"/>
      <c r="P63" s="3"/>
      <c r="Q63" s="34"/>
      <c r="R63" s="3"/>
      <c r="S63" s="34"/>
      <c r="T63" s="3"/>
      <c r="U63" s="34"/>
      <c r="V63" s="3"/>
      <c r="W63" s="34"/>
      <c r="X63" s="3"/>
      <c r="Y63" s="34"/>
      <c r="Z63" s="3"/>
      <c r="AA63" s="34"/>
      <c r="AB63" s="30"/>
      <c r="AC63" s="34"/>
      <c r="AD63" s="35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2" t="s">
        <v>86</v>
      </c>
      <c r="B64" s="52" t="s">
        <v>87</v>
      </c>
      <c r="C64" s="32" t="s">
        <v>88</v>
      </c>
      <c r="D64" s="35"/>
      <c r="E64" s="33"/>
      <c r="F64" s="3"/>
      <c r="G64" s="34"/>
      <c r="H64" s="3"/>
      <c r="I64" s="34"/>
      <c r="J64" s="3"/>
      <c r="K64" s="34"/>
      <c r="L64" s="3"/>
      <c r="M64" s="34"/>
      <c r="N64" s="3"/>
      <c r="O64" s="34"/>
      <c r="P64" s="3"/>
      <c r="Q64" s="34"/>
      <c r="R64" s="3"/>
      <c r="S64" s="34"/>
      <c r="T64" s="3"/>
      <c r="U64" s="34"/>
      <c r="V64" s="3"/>
      <c r="W64" s="34"/>
      <c r="X64" s="3"/>
      <c r="Y64" s="34"/>
      <c r="Z64" s="3"/>
      <c r="AA64" s="34"/>
      <c r="AB64" s="30"/>
      <c r="AC64" s="34"/>
      <c r="AD64" s="35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2" t="s">
        <v>89</v>
      </c>
      <c r="B65" s="52" t="s">
        <v>90</v>
      </c>
      <c r="C65" s="32" t="s">
        <v>90</v>
      </c>
      <c r="D65" s="35"/>
      <c r="E65" s="33"/>
      <c r="F65" s="3"/>
      <c r="G65" s="34"/>
      <c r="H65" s="3"/>
      <c r="I65" s="34"/>
      <c r="J65" s="3"/>
      <c r="K65" s="34"/>
      <c r="L65" s="3"/>
      <c r="M65" s="34"/>
      <c r="N65" s="3"/>
      <c r="O65" s="34"/>
      <c r="P65" s="3"/>
      <c r="Q65" s="34"/>
      <c r="R65" s="3"/>
      <c r="S65" s="34"/>
      <c r="T65" s="3"/>
      <c r="V65" s="3"/>
      <c r="W65" s="34"/>
      <c r="X65" s="3"/>
      <c r="Y65" s="34"/>
      <c r="Z65" s="3"/>
      <c r="AA65" s="34"/>
      <c r="AB65" s="30"/>
      <c r="AC65" s="34"/>
      <c r="AD65" s="35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2">
        <v>811</v>
      </c>
      <c r="B66" s="27" t="s">
        <v>91</v>
      </c>
      <c r="C66" s="32" t="s">
        <v>91</v>
      </c>
      <c r="D66" s="31"/>
      <c r="E66" s="29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1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2">
        <v>128</v>
      </c>
      <c r="B67" s="27" t="s">
        <v>116</v>
      </c>
      <c r="C67" s="32" t="s">
        <v>116</v>
      </c>
      <c r="D67" s="35"/>
      <c r="E67" s="33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"/>
      <c r="W67" s="30"/>
      <c r="X67" s="30"/>
      <c r="Y67" s="30"/>
      <c r="Z67" s="30"/>
      <c r="AA67" s="30"/>
      <c r="AB67" s="30"/>
      <c r="AC67" s="30"/>
      <c r="AD67" s="31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2" t="s">
        <v>93</v>
      </c>
      <c r="B68" s="27" t="s">
        <v>94</v>
      </c>
      <c r="C68" s="32" t="s">
        <v>95</v>
      </c>
      <c r="D68" s="31"/>
      <c r="E68" s="29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1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4"/>
      <c r="H70" s="3"/>
      <c r="I70" s="34">
        <f>I69+AG8+AG9</f>
        <v>3396000000</v>
      </c>
      <c r="J70" s="3"/>
      <c r="K70" s="54">
        <f>AG8*100/I70</f>
        <v>94.11071849234393</v>
      </c>
      <c r="L70" s="3"/>
      <c r="M70" s="34"/>
      <c r="N70" s="3"/>
      <c r="O70" s="34"/>
      <c r="P70" s="3"/>
      <c r="Q70" s="34"/>
      <c r="R70" s="3"/>
      <c r="S70" s="34"/>
      <c r="T70" s="3"/>
      <c r="X70" s="3"/>
      <c r="AC70" s="3"/>
      <c r="AD70" s="3"/>
    </row>
    <row r="71" ht="12.75" customHeight="1" spans="4:29" x14ac:dyDescent="0.25" outlineLevel="1" collapsed="1">
      <c r="D71" s="3"/>
      <c r="F71" s="71"/>
      <c r="G71" s="72" t="s">
        <v>3</v>
      </c>
      <c r="H71" s="73"/>
      <c r="I71" s="72" t="s">
        <v>4</v>
      </c>
      <c r="J71" s="73"/>
      <c r="K71" s="72" t="s">
        <v>117</v>
      </c>
      <c r="L71" s="73"/>
      <c r="M71" s="72" t="s">
        <v>118</v>
      </c>
      <c r="N71" s="73"/>
      <c r="O71" s="72" t="s">
        <v>7</v>
      </c>
      <c r="P71" s="73"/>
      <c r="Q71" s="72" t="s">
        <v>119</v>
      </c>
      <c r="R71" s="73"/>
      <c r="S71" s="72" t="s">
        <v>120</v>
      </c>
      <c r="T71" s="73"/>
      <c r="U71" s="72" t="s">
        <v>121</v>
      </c>
      <c r="V71" s="74"/>
      <c r="W71" s="72" t="s">
        <v>122</v>
      </c>
      <c r="X71" s="73"/>
      <c r="Y71" s="72" t="s">
        <v>123</v>
      </c>
      <c r="Z71" s="73"/>
      <c r="AA71" s="72" t="s">
        <v>124</v>
      </c>
      <c r="AB71" s="75"/>
      <c r="AC71" s="75" t="s">
        <v>125</v>
      </c>
    </row>
    <row r="72" ht="12.75" customHeight="1" spans="1:42" x14ac:dyDescent="0.25" outlineLevel="1" collapsed="1">
      <c r="A72" s="27"/>
      <c r="B72" s="27" t="s">
        <v>126</v>
      </c>
      <c r="C72" s="45"/>
      <c r="D72" s="76"/>
      <c r="E72" s="43">
        <f>G72-G69</f>
        <v>5728561100</v>
      </c>
      <c r="F72" s="77"/>
      <c r="G72" s="78">
        <f t="shared" ref="G72:AC72" si="6">SUM(G73:G76)</f>
        <v>5728561100</v>
      </c>
      <c r="H72" s="78">
        <f t="shared" si="6"/>
        <v>0</v>
      </c>
      <c r="I72" s="78">
        <f t="shared" si="6"/>
        <v>5659715082</v>
      </c>
      <c r="J72" s="78">
        <f t="shared" si="6"/>
        <v>0</v>
      </c>
      <c r="K72" s="78">
        <f t="shared" si="6"/>
        <v>0</v>
      </c>
      <c r="L72" s="78">
        <f t="shared" si="6"/>
        <v>0</v>
      </c>
      <c r="M72" s="78">
        <f t="shared" si="6"/>
        <v>0</v>
      </c>
      <c r="N72" s="78">
        <f t="shared" si="6"/>
        <v>0</v>
      </c>
      <c r="O72" s="78">
        <f t="shared" si="6"/>
        <v>0</v>
      </c>
      <c r="P72" s="78">
        <f t="shared" si="6"/>
        <v>0</v>
      </c>
      <c r="Q72" s="78">
        <f t="shared" si="6"/>
        <v>0</v>
      </c>
      <c r="R72" s="78">
        <f t="shared" si="6"/>
        <v>0</v>
      </c>
      <c r="S72" s="78">
        <f t="shared" si="6"/>
        <v>0</v>
      </c>
      <c r="T72" s="78">
        <f t="shared" si="6"/>
        <v>0</v>
      </c>
      <c r="U72" s="78">
        <f t="shared" si="6"/>
        <v>0</v>
      </c>
      <c r="V72" s="78">
        <f t="shared" si="6"/>
        <v>0</v>
      </c>
      <c r="W72" s="78">
        <f t="shared" si="6"/>
        <v>0</v>
      </c>
      <c r="X72" s="78">
        <f t="shared" si="6"/>
        <v>0</v>
      </c>
      <c r="Y72" s="78">
        <f t="shared" si="6"/>
        <v>0</v>
      </c>
      <c r="Z72" s="78">
        <f t="shared" si="6"/>
        <v>0</v>
      </c>
      <c r="AA72" s="78">
        <f t="shared" si="6"/>
        <v>0</v>
      </c>
      <c r="AB72" s="78">
        <f t="shared" si="6"/>
        <v>0</v>
      </c>
      <c r="AC72" s="78">
        <f t="shared" si="6"/>
        <v>0</v>
      </c>
      <c r="AD72" s="45"/>
      <c r="AE72" s="45"/>
      <c r="AF72" s="45"/>
      <c r="AG72" s="45"/>
      <c r="AH72" s="45"/>
      <c r="AI72" s="45"/>
      <c r="AL72" s="45"/>
      <c r="AM72" s="45"/>
      <c r="AN72" s="45"/>
      <c r="AO72" s="45"/>
      <c r="AP72" s="45"/>
    </row>
    <row r="73" ht="12.75" customHeight="1" spans="1:42" x14ac:dyDescent="0.25" outlineLevel="1" collapsed="1">
      <c r="A73" s="44"/>
      <c r="B73" s="44">
        <v>16</v>
      </c>
      <c r="C73" s="45" t="s">
        <v>127</v>
      </c>
      <c r="D73" s="76"/>
      <c r="E73" s="45"/>
      <c r="F73" s="79"/>
      <c r="G73" s="80">
        <v>78615597</v>
      </c>
      <c r="H73" s="79"/>
      <c r="I73" s="80">
        <v>5110</v>
      </c>
      <c r="J73" s="79"/>
      <c r="K73" s="80"/>
      <c r="L73" s="79"/>
      <c r="M73" s="80"/>
      <c r="N73" s="79"/>
      <c r="O73" s="80"/>
      <c r="P73" s="79"/>
      <c r="Q73" s="80"/>
      <c r="R73" s="79"/>
      <c r="S73" s="80"/>
      <c r="T73" s="79"/>
      <c r="U73" s="80"/>
      <c r="V73" s="80"/>
      <c r="W73" s="80"/>
      <c r="X73" s="79"/>
      <c r="Y73" s="80"/>
      <c r="Z73" s="79"/>
      <c r="AA73" s="80"/>
      <c r="AB73" s="80"/>
      <c r="AC73" s="80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</row>
    <row r="74" ht="12.75" customHeight="1" spans="1:42" x14ac:dyDescent="0.25" outlineLevel="1" collapsed="1">
      <c r="A74" s="44"/>
      <c r="B74" s="44"/>
      <c r="C74" s="45" t="s">
        <v>128</v>
      </c>
      <c r="D74" s="76"/>
      <c r="E74" s="43"/>
      <c r="F74" s="79"/>
      <c r="G74" s="80">
        <f>5647272263 -902459381 -708670598 +81288837 -665795 -78615597 -75807 -1552693 -377830</f>
        <v>4036143399</v>
      </c>
      <c r="H74" s="79"/>
      <c r="I74" s="80">
        <f>5560790939 +99089143 -I73-I75-I76-165000</f>
        <v>4533361197</v>
      </c>
      <c r="J74" s="79"/>
      <c r="K74" s="80"/>
      <c r="L74" s="79"/>
      <c r="M74" s="80"/>
      <c r="N74" s="79"/>
      <c r="O74" s="80"/>
      <c r="P74" s="79"/>
      <c r="Q74" s="80"/>
      <c r="R74" s="79"/>
      <c r="S74" s="80"/>
      <c r="T74" s="79"/>
      <c r="U74" s="80"/>
      <c r="V74" s="80"/>
      <c r="W74" s="80"/>
      <c r="X74" s="79"/>
      <c r="Y74" s="80"/>
      <c r="Z74" s="79"/>
      <c r="AA74" s="80"/>
      <c r="AB74" s="80"/>
      <c r="AC74" s="80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</row>
    <row r="75" ht="12.75" customHeight="1" spans="1:42" x14ac:dyDescent="0.25" outlineLevel="1" collapsed="1">
      <c r="A75" s="44"/>
      <c r="B75" s="44">
        <v>46</v>
      </c>
      <c r="C75" s="45" t="s">
        <v>129</v>
      </c>
      <c r="D75" s="76"/>
      <c r="E75" s="43"/>
      <c r="F75" s="79"/>
      <c r="G75" s="80">
        <v>377830</v>
      </c>
      <c r="H75" s="79"/>
      <c r="I75" s="80">
        <v>268857</v>
      </c>
      <c r="J75" s="79"/>
      <c r="K75" s="80"/>
      <c r="L75" s="79"/>
      <c r="M75" s="80"/>
      <c r="N75" s="79"/>
      <c r="O75" s="80"/>
      <c r="P75" s="79"/>
      <c r="Q75" s="80"/>
      <c r="R75" s="79"/>
      <c r="S75" s="80"/>
      <c r="T75" s="79"/>
      <c r="U75" s="80"/>
      <c r="V75" s="80"/>
      <c r="W75" s="80"/>
      <c r="X75" s="79"/>
      <c r="Y75" s="80"/>
      <c r="Z75" s="79"/>
      <c r="AA75" s="80"/>
      <c r="AB75" s="80"/>
      <c r="AC75" s="80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</row>
    <row r="76" ht="12.75" customHeight="1" spans="1:42" x14ac:dyDescent="0.25" outlineLevel="1" collapsed="1">
      <c r="A76" s="44"/>
      <c r="B76" s="44" t="s">
        <v>130</v>
      </c>
      <c r="C76" s="45" t="s">
        <v>131</v>
      </c>
      <c r="D76" s="76"/>
      <c r="E76" s="45"/>
      <c r="F76" s="79"/>
      <c r="G76" s="80">
        <f>708670598+665795+902459381 +75807 +1552693</f>
        <v>1613424274</v>
      </c>
      <c r="H76" s="79"/>
      <c r="I76" s="80">
        <f>460412894 +97186561 +75807 +567016963 +1552693 -165000</f>
        <v>1126079918</v>
      </c>
      <c r="J76" s="79"/>
      <c r="K76" s="80"/>
      <c r="L76" s="79"/>
      <c r="M76" s="80"/>
      <c r="N76" s="79"/>
      <c r="O76" s="80"/>
      <c r="P76" s="79"/>
      <c r="Q76" s="80"/>
      <c r="R76" s="79"/>
      <c r="S76" s="80"/>
      <c r="T76" s="79"/>
      <c r="U76" s="80"/>
      <c r="V76" s="80"/>
      <c r="W76" s="80"/>
      <c r="X76" s="79"/>
      <c r="Y76" s="80"/>
      <c r="Z76" s="79"/>
      <c r="AA76" s="80"/>
      <c r="AB76" s="80"/>
      <c r="AC76" s="80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2"/>
      <c r="F77" s="81"/>
      <c r="G77" s="82">
        <f t="shared" ref="G77:AC77" si="7">SUM(G78:G84)</f>
        <v>10473449789</v>
      </c>
      <c r="H77" s="82">
        <f t="shared" si="7"/>
        <v>0</v>
      </c>
      <c r="I77" s="82">
        <f t="shared" si="7"/>
        <v>10760168934</v>
      </c>
      <c r="J77" s="82">
        <f t="shared" si="7"/>
        <v>0</v>
      </c>
      <c r="K77" s="82">
        <f t="shared" si="7"/>
        <v>0</v>
      </c>
      <c r="L77" s="82">
        <f t="shared" si="7"/>
        <v>0</v>
      </c>
      <c r="M77" s="82">
        <f t="shared" si="7"/>
        <v>0</v>
      </c>
      <c r="N77" s="82">
        <f t="shared" si="7"/>
        <v>0</v>
      </c>
      <c r="O77" s="82">
        <f t="shared" si="7"/>
        <v>0</v>
      </c>
      <c r="P77" s="82">
        <f t="shared" si="7"/>
        <v>0</v>
      </c>
      <c r="Q77" s="82">
        <f t="shared" si="7"/>
        <v>0</v>
      </c>
      <c r="R77" s="82">
        <f t="shared" si="7"/>
        <v>0</v>
      </c>
      <c r="S77" s="82">
        <f t="shared" si="7"/>
        <v>0</v>
      </c>
      <c r="T77" s="82">
        <f t="shared" si="7"/>
        <v>0</v>
      </c>
      <c r="U77" s="82">
        <f t="shared" si="7"/>
        <v>0</v>
      </c>
      <c r="V77" s="82">
        <f t="shared" si="7"/>
        <v>0</v>
      </c>
      <c r="W77" s="82">
        <f t="shared" si="7"/>
        <v>0</v>
      </c>
      <c r="X77" s="82">
        <f t="shared" si="7"/>
        <v>0</v>
      </c>
      <c r="Y77" s="82">
        <f t="shared" si="7"/>
        <v>0</v>
      </c>
      <c r="Z77" s="82">
        <f t="shared" si="7"/>
        <v>0</v>
      </c>
      <c r="AA77" s="82">
        <f t="shared" si="7"/>
        <v>0</v>
      </c>
      <c r="AB77" s="82">
        <f t="shared" si="7"/>
        <v>0</v>
      </c>
      <c r="AC77" s="82">
        <f t="shared" si="7"/>
        <v>0</v>
      </c>
      <c r="AD77" s="32"/>
      <c r="AE77" s="32"/>
      <c r="AF77" s="32"/>
      <c r="AG77" s="32"/>
      <c r="AH77" s="32"/>
      <c r="AI77" s="32"/>
      <c r="AJ77" s="45"/>
      <c r="AK77" s="45"/>
      <c r="AL77" s="32"/>
      <c r="AM77" s="32"/>
      <c r="AN77" s="32"/>
      <c r="AO77" s="32"/>
      <c r="AP77" s="32"/>
    </row>
    <row r="78" ht="12.75" customHeight="1" spans="1:42" x14ac:dyDescent="0.25" outlineLevel="1" collapsed="1">
      <c r="A78" s="83"/>
      <c r="B78" s="83" t="s">
        <v>133</v>
      </c>
      <c r="C78" s="83"/>
      <c r="D78" s="3"/>
      <c r="E78" s="32"/>
      <c r="F78" s="84"/>
      <c r="G78" s="85">
        <f>81288837-1552693-75807</f>
        <v>79660337</v>
      </c>
      <c r="H78" s="84"/>
      <c r="I78" s="85">
        <f>99089143 -1552693-75807</f>
        <v>97460643</v>
      </c>
      <c r="J78" s="84"/>
      <c r="K78" s="85"/>
      <c r="L78" s="84"/>
      <c r="M78" s="85"/>
      <c r="N78" s="84"/>
      <c r="O78" s="85"/>
      <c r="P78" s="84"/>
      <c r="Q78" s="85"/>
      <c r="R78" s="84"/>
      <c r="S78" s="85"/>
      <c r="T78" s="84"/>
      <c r="U78" s="85"/>
      <c r="V78" s="85"/>
      <c r="W78" s="85"/>
      <c r="X78" s="84"/>
      <c r="Y78" s="85"/>
      <c r="Z78" s="84"/>
      <c r="AA78" s="85"/>
      <c r="AB78" s="85"/>
      <c r="AC78" s="85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</row>
    <row r="79" ht="12.75" customHeight="1" spans="1:42" x14ac:dyDescent="0.25" outlineLevel="1" collapsed="1">
      <c r="A79" s="83"/>
      <c r="B79" s="83" t="s">
        <v>134</v>
      </c>
      <c r="C79" s="83"/>
      <c r="D79" s="3"/>
      <c r="E79" s="32"/>
      <c r="F79" s="84"/>
      <c r="G79" s="85">
        <v>902459381</v>
      </c>
      <c r="H79" s="84"/>
      <c r="I79" s="85">
        <f>460412894-165000</f>
        <v>460247894</v>
      </c>
      <c r="J79" s="84"/>
      <c r="K79" s="85"/>
      <c r="L79" s="84"/>
      <c r="M79" s="85"/>
      <c r="N79" s="84"/>
      <c r="O79" s="85"/>
      <c r="P79" s="84"/>
      <c r="Q79" s="85"/>
      <c r="R79" s="84"/>
      <c r="S79" s="85"/>
      <c r="T79" s="84"/>
      <c r="U79" s="85"/>
      <c r="V79" s="85"/>
      <c r="W79" s="85"/>
      <c r="X79" s="84"/>
      <c r="Y79" s="85"/>
      <c r="Z79" s="84"/>
      <c r="AA79" s="85"/>
      <c r="AB79" s="85"/>
      <c r="AC79" s="85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</row>
    <row r="80" ht="12.75" customHeight="1" spans="1:42" x14ac:dyDescent="0.25" outlineLevel="1" collapsed="1">
      <c r="A80" s="83"/>
      <c r="B80" s="83" t="s">
        <v>135</v>
      </c>
      <c r="C80" s="83"/>
      <c r="D80" s="3"/>
      <c r="E80" s="32"/>
      <c r="F80" s="84"/>
      <c r="G80" s="85">
        <f>1528473273 +708670598 +2014319228 +31182813 +75807</f>
        <v>4282721719</v>
      </c>
      <c r="H80" s="84"/>
      <c r="I80" s="85">
        <f>1591271587 +567016963 +2410694905 +31182813 +75807</f>
        <v>4600242075</v>
      </c>
      <c r="J80" s="84"/>
      <c r="K80" s="85"/>
      <c r="L80" s="84"/>
      <c r="M80" s="85"/>
      <c r="N80" s="84"/>
      <c r="O80" s="85"/>
      <c r="P80" s="84"/>
      <c r="Q80" s="85"/>
      <c r="R80" s="84"/>
      <c r="S80" s="85"/>
      <c r="T80" s="84"/>
      <c r="U80" s="85"/>
      <c r="V80" s="85"/>
      <c r="W80" s="85"/>
      <c r="X80" s="84"/>
      <c r="Y80" s="85"/>
      <c r="Z80" s="84"/>
      <c r="AA80" s="85"/>
      <c r="AB80" s="85"/>
      <c r="AC80" s="85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</row>
    <row r="81" ht="12.75" customHeight="1" spans="1:42" x14ac:dyDescent="0.25" outlineLevel="1" collapsed="1">
      <c r="A81" s="83"/>
      <c r="B81" s="83" t="s">
        <v>136</v>
      </c>
      <c r="C81" s="83"/>
      <c r="D81" s="3"/>
      <c r="E81" s="32"/>
      <c r="F81" s="84"/>
      <c r="G81" s="85">
        <v>68580800</v>
      </c>
      <c r="H81" s="84"/>
      <c r="I81" s="85">
        <v>68580800</v>
      </c>
      <c r="J81" s="84"/>
      <c r="K81" s="85"/>
      <c r="L81" s="84"/>
      <c r="M81" s="85"/>
      <c r="N81" s="84"/>
      <c r="O81" s="85"/>
      <c r="P81" s="84"/>
      <c r="Q81" s="85"/>
      <c r="R81" s="84"/>
      <c r="S81" s="85"/>
      <c r="T81" s="84"/>
      <c r="U81" s="85"/>
      <c r="V81" s="85"/>
      <c r="W81" s="85"/>
      <c r="X81" s="84"/>
      <c r="Y81" s="85"/>
      <c r="Z81" s="84"/>
      <c r="AA81" s="85"/>
      <c r="AB81" s="85"/>
      <c r="AC81" s="85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</row>
    <row r="82" ht="12.75" customHeight="1" spans="1:42" x14ac:dyDescent="0.25" outlineLevel="1" collapsed="1">
      <c r="A82" s="83"/>
      <c r="B82" s="83" t="s">
        <v>137</v>
      </c>
      <c r="C82" s="83"/>
      <c r="D82" s="3"/>
      <c r="E82" s="32"/>
      <c r="F82" s="84"/>
      <c r="G82" s="85">
        <v>1552693</v>
      </c>
      <c r="H82" s="84"/>
      <c r="I82" s="85">
        <v>1552693</v>
      </c>
      <c r="J82" s="84"/>
      <c r="K82" s="85"/>
      <c r="L82" s="84"/>
      <c r="M82" s="85"/>
      <c r="N82" s="84"/>
      <c r="O82" s="85"/>
      <c r="P82" s="84"/>
      <c r="Q82" s="85"/>
      <c r="R82" s="84"/>
      <c r="S82" s="85"/>
      <c r="T82" s="84"/>
      <c r="U82" s="85"/>
      <c r="V82" s="85"/>
      <c r="W82" s="85"/>
      <c r="X82" s="84"/>
      <c r="Y82" s="85"/>
      <c r="Z82" s="84"/>
      <c r="AA82" s="85"/>
      <c r="AB82" s="85"/>
      <c r="AC82" s="85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</row>
    <row r="83" ht="12.75" customHeight="1" spans="1:42" x14ac:dyDescent="0.25" outlineLevel="1" collapsed="1">
      <c r="A83" s="83"/>
      <c r="B83" s="83" t="s">
        <v>138</v>
      </c>
      <c r="C83" s="83"/>
      <c r="D83" s="3"/>
      <c r="E83" s="32"/>
      <c r="F83" s="84"/>
      <c r="G83" s="85">
        <v>393586170</v>
      </c>
      <c r="H83" s="84"/>
      <c r="I83" s="85">
        <v>431630977</v>
      </c>
      <c r="J83" s="84"/>
      <c r="K83" s="85"/>
      <c r="L83" s="84"/>
      <c r="M83" s="85"/>
      <c r="N83" s="84"/>
      <c r="O83" s="85"/>
      <c r="P83" s="84"/>
      <c r="Q83" s="85"/>
      <c r="R83" s="84"/>
      <c r="S83" s="85"/>
      <c r="T83" s="84"/>
      <c r="U83" s="85"/>
      <c r="V83" s="85"/>
      <c r="W83" s="85"/>
      <c r="X83" s="84"/>
      <c r="Y83" s="85"/>
      <c r="Z83" s="84"/>
      <c r="AA83" s="85"/>
      <c r="AB83" s="85"/>
      <c r="AC83" s="85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</row>
    <row r="84" ht="12.75" customHeight="1" spans="1:37" x14ac:dyDescent="0.25" outlineLevel="1" collapsed="1">
      <c r="A84" s="32"/>
      <c r="B84" s="32" t="s">
        <v>139</v>
      </c>
      <c r="D84" s="3"/>
      <c r="F84" s="3"/>
      <c r="G84" s="34">
        <f t="shared" ref="G84:I84" si="8">G80+G83+G81</f>
        <v>4744888689</v>
      </c>
      <c r="H84" s="3">
        <f t="shared" si="8"/>
        <v>0</v>
      </c>
      <c r="I84" s="34">
        <f t="shared" si="8"/>
        <v>5100453852</v>
      </c>
      <c r="W84" s="34"/>
      <c r="X84" s="34"/>
      <c r="Y84" s="34"/>
      <c r="Z84" s="3"/>
      <c r="AA84" s="34"/>
      <c r="AC84" s="34"/>
      <c r="AJ84" s="32"/>
      <c r="AK84" s="32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4"/>
      <c r="B87" s="54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4"/>
      <c r="B88" s="54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5"/>
      <c r="B3" s="55" t="s">
        <v>98</v>
      </c>
      <c r="C3" s="55"/>
      <c r="D3" s="3"/>
      <c r="F3" s="56"/>
      <c r="G3" s="57" t="s">
        <v>99</v>
      </c>
      <c r="H3" s="58"/>
      <c r="I3" s="59" t="s">
        <v>99</v>
      </c>
      <c r="J3" s="58"/>
      <c r="K3" s="32" t="s">
        <v>100</v>
      </c>
      <c r="L3" s="58"/>
      <c r="N3" s="58"/>
      <c r="P3" s="58"/>
      <c r="R3" s="58"/>
      <c r="T3" s="58"/>
      <c r="X3" s="3"/>
      <c r="Z3" s="3"/>
      <c r="AB3" s="3"/>
    </row>
    <row r="4" ht="12.75" customHeight="1" spans="4:28" x14ac:dyDescent="0.25">
      <c r="D4" s="3"/>
      <c r="F4" s="3"/>
      <c r="H4" s="60"/>
      <c r="I4" s="61" t="s">
        <v>99</v>
      </c>
      <c r="J4" s="60"/>
      <c r="K4" s="32" t="s">
        <v>101</v>
      </c>
      <c r="L4" s="60"/>
      <c r="N4" s="60"/>
      <c r="P4" s="60"/>
      <c r="R4" s="60"/>
      <c r="T4" s="60"/>
      <c r="X4" s="3"/>
      <c r="Z4" s="3"/>
      <c r="AB4" s="3"/>
    </row>
    <row r="5" ht="12.75" customHeight="1" spans="4:28" x14ac:dyDescent="0.25">
      <c r="D5" s="3"/>
      <c r="F5" s="3"/>
      <c r="G5" s="54"/>
      <c r="H5" s="3"/>
      <c r="J5" s="3"/>
      <c r="L5" s="3"/>
      <c r="N5" s="3"/>
      <c r="P5" s="3"/>
      <c r="R5" s="3"/>
      <c r="T5" s="3"/>
      <c r="U5" s="62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3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4" t="s">
        <v>141</v>
      </c>
      <c r="AG7" s="65">
        <f>E19/11</f>
        <v>2050295275.1818182</v>
      </c>
      <c r="AH7" s="66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4" t="s">
        <v>104</v>
      </c>
      <c r="AG8" s="65">
        <f>2096000000+1000000000+100000000</f>
        <v>3196000000</v>
      </c>
      <c r="AH8" s="66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4" t="s">
        <v>105</v>
      </c>
      <c r="AG9" s="65">
        <v>200000000</v>
      </c>
      <c r="AH9" s="66"/>
    </row>
    <row r="10" ht="12.75" customHeight="1" spans="1:34" x14ac:dyDescent="0.25">
      <c r="A10" s="27"/>
      <c r="B10" s="27" t="s">
        <v>18</v>
      </c>
      <c r="C10" s="27"/>
      <c r="D10" s="31"/>
      <c r="E10" s="29">
        <f t="shared" si="1"/>
        <v>22415957275</v>
      </c>
      <c r="F10" s="30">
        <f>G10/$G$9</f>
        <v>0.6818988442904729</v>
      </c>
      <c r="G10" s="30">
        <f>SUBTOTAL(9,$G$11:$G$13)</f>
        <v>2233167559</v>
      </c>
      <c r="H10" s="30">
        <f>I10/$I$9</f>
        <v>0.9832147927641025</v>
      </c>
      <c r="I10" s="30">
        <f>SUBTOTAL(9,I11:I13)</f>
        <v>1619327800</v>
      </c>
      <c r="J10" s="30">
        <f>K10/$K$9</f>
        <v>0.9751535269550794</v>
      </c>
      <c r="K10" s="30">
        <f>SUBTOTAL(9,K11:K13)</f>
        <v>1764823908</v>
      </c>
      <c r="L10" s="30">
        <f>M10/$M$9</f>
        <v>0.9855608707209752</v>
      </c>
      <c r="M10" s="30">
        <f>SUBTOTAL(9,M11:M13)</f>
        <v>1803786037</v>
      </c>
      <c r="N10" s="30">
        <f>O10/$O$9</f>
        <v>0.9774549559083467</v>
      </c>
      <c r="O10" s="30">
        <f>SUBTOTAL(9,O11:O13)</f>
        <v>1880021436</v>
      </c>
      <c r="P10" s="30">
        <f>Q10/$Q$9</f>
        <v>0.9915831286380434</v>
      </c>
      <c r="Q10" s="30">
        <f>SUBTOTAL(9,Q11:Q13)</f>
        <v>2328934149</v>
      </c>
      <c r="R10" s="30">
        <f>S10/$S$9</f>
        <v>0.9811377412796428</v>
      </c>
      <c r="S10" s="30">
        <f>SUBTOTAL(9,S11:S13)</f>
        <v>1900991447</v>
      </c>
      <c r="T10" s="30">
        <f t="shared" ref="T10:T18" si="3">U10/$U$9</f>
        <v>1.023926189274017</v>
      </c>
      <c r="U10" s="30">
        <f>SUBTOTAL(9,U11:U13)</f>
        <v>1933252957</v>
      </c>
      <c r="V10" s="30"/>
      <c r="W10" s="30">
        <f t="shared" ref="W10:AC10" si="4">SUBTOTAL(9,W11:W13)</f>
        <v>1858161375</v>
      </c>
      <c r="X10" s="30">
        <f t="shared" si="4"/>
        <v>1</v>
      </c>
      <c r="Y10" s="30">
        <f t="shared" si="4"/>
        <v>2537335754</v>
      </c>
      <c r="Z10" s="30">
        <f t="shared" si="4"/>
        <v>1</v>
      </c>
      <c r="AA10" s="30">
        <f t="shared" si="4"/>
        <v>2462282592</v>
      </c>
      <c r="AB10" s="30">
        <f t="shared" si="4"/>
        <v>0</v>
      </c>
      <c r="AC10" s="30">
        <f t="shared" si="4"/>
        <v>93872261</v>
      </c>
      <c r="AD10" s="31">
        <f t="shared" ref="AD10:AD18" si="5">E10/$E$9</f>
        <v>0.9454083674412648</v>
      </c>
      <c r="AF10" s="64" t="s">
        <v>106</v>
      </c>
      <c r="AG10" s="67">
        <f>(Q68+AG8)/AG7</f>
        <v>3.911013871545359</v>
      </c>
      <c r="AH10" s="66"/>
    </row>
    <row r="11" ht="12.75" customHeight="1" spans="1:34" x14ac:dyDescent="0.25">
      <c r="A11" s="27" t="s">
        <v>19</v>
      </c>
      <c r="C11" s="32" t="s">
        <v>20</v>
      </c>
      <c r="D11" s="35"/>
      <c r="E11" s="33">
        <f t="shared" si="1"/>
        <v>19723937155</v>
      </c>
      <c r="F11" s="3">
        <v>0.9353</v>
      </c>
      <c r="G11" s="34">
        <v>2088667559</v>
      </c>
      <c r="H11" s="3">
        <v>1</v>
      </c>
      <c r="I11" s="34">
        <v>1619327800</v>
      </c>
      <c r="J11" s="3">
        <v>0.9188</v>
      </c>
      <c r="K11" s="34">
        <v>1621543108</v>
      </c>
      <c r="L11" s="3">
        <v>0.9077</v>
      </c>
      <c r="M11" s="34">
        <v>1661209237</v>
      </c>
      <c r="N11" s="3">
        <v>0.8508</v>
      </c>
      <c r="O11" s="34">
        <v>1636406123</v>
      </c>
      <c r="P11" s="3">
        <v>0.7989</v>
      </c>
      <c r="Q11" s="34">
        <v>1876345517</v>
      </c>
      <c r="R11" s="3">
        <v>0.8613</v>
      </c>
      <c r="S11" s="34">
        <v>1668879138</v>
      </c>
      <c r="T11" s="3">
        <f t="shared" si="3"/>
        <v>0.9654721722405563</v>
      </c>
      <c r="U11" s="34">
        <v>1822887188</v>
      </c>
      <c r="V11" s="3">
        <f t="shared" ref="V11:V18" si="6">W11/$W$10</f>
        <v>0.9053568207981936</v>
      </c>
      <c r="W11" s="34">
        <v>1682299075</v>
      </c>
      <c r="X11" s="3">
        <f t="shared" ref="X11:X18" si="7">Y11/$Y$10</f>
        <v>0.748072500065358</v>
      </c>
      <c r="Y11" s="34">
        <f>1943349196 -45238095</f>
        <v>1898111101</v>
      </c>
      <c r="Z11" s="3">
        <f t="shared" ref="Z11:Z18" si="8">AA11/$AA$10</f>
        <v>0.8548097017127432</v>
      </c>
      <c r="AA11" s="34">
        <v>2104783048</v>
      </c>
      <c r="AB11" s="3"/>
      <c r="AC11" s="34">
        <v>43478261</v>
      </c>
      <c r="AD11" s="35">
        <f t="shared" si="5"/>
        <v>0.8318705731126379</v>
      </c>
      <c r="AF11" s="64" t="s">
        <v>142</v>
      </c>
      <c r="AG11" s="68">
        <f>AG15/AG13</f>
        <v>0.08250631078185218</v>
      </c>
      <c r="AH11" s="66"/>
    </row>
    <row r="12" ht="12.75" customHeight="1" spans="3:33" x14ac:dyDescent="0.25">
      <c r="C12" s="32" t="s">
        <v>21</v>
      </c>
      <c r="D12" s="35"/>
      <c r="E12" s="33">
        <f t="shared" si="1"/>
        <v>2692020120</v>
      </c>
      <c r="F12" s="3">
        <v>0.0647</v>
      </c>
      <c r="G12" s="34">
        <v>144500000</v>
      </c>
      <c r="H12" s="3">
        <v>0</v>
      </c>
      <c r="I12" s="34">
        <v>0</v>
      </c>
      <c r="J12" s="3">
        <v>0.0812</v>
      </c>
      <c r="K12" s="34">
        <v>143280800</v>
      </c>
      <c r="L12" s="3">
        <v>0.0779</v>
      </c>
      <c r="M12" s="34">
        <v>142576800</v>
      </c>
      <c r="N12" s="3">
        <v>0.1267</v>
      </c>
      <c r="O12" s="34">
        <v>243615313</v>
      </c>
      <c r="P12" s="3">
        <v>0.1927</v>
      </c>
      <c r="Q12" s="34">
        <v>452588632</v>
      </c>
      <c r="R12" s="3">
        <v>0.1198</v>
      </c>
      <c r="S12" s="34">
        <v>232112309</v>
      </c>
      <c r="T12" s="3">
        <f t="shared" si="3"/>
        <v>0.058454017033460794</v>
      </c>
      <c r="U12" s="34">
        <v>110365769</v>
      </c>
      <c r="V12" s="3">
        <f t="shared" si="6"/>
        <v>0.09464317920180641</v>
      </c>
      <c r="W12" s="34">
        <v>175862300</v>
      </c>
      <c r="X12" s="3">
        <f t="shared" si="7"/>
        <v>0.2519274999346421</v>
      </c>
      <c r="Y12" s="34">
        <f>639469253-244600</f>
        <v>639224653</v>
      </c>
      <c r="Z12" s="3">
        <f t="shared" si="8"/>
        <v>0.14519029828725688</v>
      </c>
      <c r="AA12" s="34">
        <v>357499544</v>
      </c>
      <c r="AB12" s="3"/>
      <c r="AC12" s="34">
        <v>50394000</v>
      </c>
      <c r="AD12" s="35">
        <f t="shared" si="5"/>
        <v>0.11353779432862689</v>
      </c>
      <c r="AF12" s="64" t="s">
        <v>143</v>
      </c>
      <c r="AG12" s="68">
        <f>AG18/AG16</f>
        <v>0.04880130096054551</v>
      </c>
    </row>
    <row r="13" ht="12.75" customHeight="1" spans="3:33" x14ac:dyDescent="0.25">
      <c r="C13" s="32" t="s">
        <v>22</v>
      </c>
      <c r="D13" s="35"/>
      <c r="E13" s="33">
        <f t="shared" si="1"/>
        <v>0</v>
      </c>
      <c r="F13" s="3">
        <v>0</v>
      </c>
      <c r="G13" s="34">
        <v>0</v>
      </c>
      <c r="H13" s="3">
        <v>0</v>
      </c>
      <c r="I13" s="34">
        <v>0</v>
      </c>
      <c r="J13" s="3">
        <v>0</v>
      </c>
      <c r="K13" s="34">
        <v>0</v>
      </c>
      <c r="L13" s="3">
        <v>0</v>
      </c>
      <c r="M13" s="34">
        <v>0</v>
      </c>
      <c r="N13" s="3">
        <v>0</v>
      </c>
      <c r="O13" s="34">
        <v>0</v>
      </c>
      <c r="P13" s="3">
        <v>0</v>
      </c>
      <c r="Q13" s="34">
        <v>0</v>
      </c>
      <c r="R13" s="3">
        <v>0</v>
      </c>
      <c r="S13" s="34">
        <v>0</v>
      </c>
      <c r="T13" s="3">
        <f t="shared" si="3"/>
        <v>0</v>
      </c>
      <c r="U13" s="34">
        <v>0</v>
      </c>
      <c r="V13" s="3">
        <f t="shared" si="6"/>
        <v>0</v>
      </c>
      <c r="W13" s="34"/>
      <c r="X13" s="3">
        <f t="shared" si="7"/>
        <v>0</v>
      </c>
      <c r="Y13" s="3"/>
      <c r="Z13" s="3">
        <f t="shared" si="8"/>
        <v>0</v>
      </c>
      <c r="AA13" s="34"/>
      <c r="AB13" s="3"/>
      <c r="AC13" s="34"/>
      <c r="AD13" s="35">
        <f t="shared" si="5"/>
        <v>0</v>
      </c>
      <c r="AF13" s="64" t="s">
        <v>144</v>
      </c>
      <c r="AG13" s="65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1"/>
      <c r="E14" s="29">
        <f t="shared" si="1"/>
        <v>1042679674</v>
      </c>
      <c r="F14" s="30">
        <v>0.4595</v>
      </c>
      <c r="G14" s="36">
        <v>1026096751</v>
      </c>
      <c r="H14" s="30">
        <v>0</v>
      </c>
      <c r="I14" s="30">
        <v>0</v>
      </c>
      <c r="J14" s="30">
        <v>0</v>
      </c>
      <c r="K14" s="30">
        <v>0</v>
      </c>
      <c r="L14" s="30">
        <v>0.0001</v>
      </c>
      <c r="M14" s="30">
        <v>138136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f t="shared" si="3"/>
        <v>0</v>
      </c>
      <c r="U14" s="30">
        <v>0</v>
      </c>
      <c r="V14" s="3">
        <f t="shared" si="6"/>
        <v>0</v>
      </c>
      <c r="W14" s="30"/>
      <c r="X14" s="3">
        <f t="shared" si="7"/>
        <v>0</v>
      </c>
      <c r="Y14" s="30"/>
      <c r="Z14" s="30">
        <f t="shared" si="8"/>
        <v>0.00667867573503927</v>
      </c>
      <c r="AA14" s="36">
        <v>16444787</v>
      </c>
      <c r="AB14" s="3"/>
      <c r="AC14" s="30"/>
      <c r="AD14" s="31">
        <f t="shared" si="5"/>
        <v>0.043975730158083565</v>
      </c>
      <c r="AF14" s="64" t="s">
        <v>145</v>
      </c>
      <c r="AG14" s="65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2" t="s">
        <v>146</v>
      </c>
      <c r="D15" s="31"/>
      <c r="E15" s="29">
        <f t="shared" si="1"/>
        <v>203096291</v>
      </c>
      <c r="F15" s="30">
        <v>0.0048</v>
      </c>
      <c r="G15" s="30">
        <v>10675690</v>
      </c>
      <c r="H15" s="30">
        <v>0.0123</v>
      </c>
      <c r="I15" s="30">
        <v>19923176</v>
      </c>
      <c r="J15" s="30">
        <v>0.0116</v>
      </c>
      <c r="K15" s="30">
        <v>20451705</v>
      </c>
      <c r="L15" s="30">
        <v>0.0065</v>
      </c>
      <c r="M15" s="30">
        <v>11895702</v>
      </c>
      <c r="N15" s="30">
        <v>0.0189</v>
      </c>
      <c r="O15" s="30">
        <v>36410212</v>
      </c>
      <c r="P15" s="30">
        <v>0.0084</v>
      </c>
      <c r="Q15" s="30">
        <v>19768730</v>
      </c>
      <c r="R15" s="30">
        <v>0.0149</v>
      </c>
      <c r="S15" s="30">
        <v>28848049</v>
      </c>
      <c r="T15" s="30">
        <f t="shared" si="3"/>
        <v>0.0005714693733049284</v>
      </c>
      <c r="U15" s="30">
        <f>76179+1002800</f>
        <v>1078979</v>
      </c>
      <c r="V15" s="30">
        <f t="shared" si="6"/>
        <v>0.01761606200645517</v>
      </c>
      <c r="W15" s="30">
        <f>56286+32677200</f>
        <v>32733486</v>
      </c>
      <c r="X15" s="3">
        <f t="shared" si="7"/>
        <v>0.002782488674930011</v>
      </c>
      <c r="Y15" s="30">
        <f>41188+7018920</f>
        <v>7060108</v>
      </c>
      <c r="Z15" s="30">
        <f t="shared" si="8"/>
        <v>0.005373077015199074</v>
      </c>
      <c r="AA15" s="30">
        <f>32853+13197181</f>
        <v>13230034</v>
      </c>
      <c r="AB15" s="30"/>
      <c r="AC15" s="30">
        <v>1020420</v>
      </c>
      <c r="AD15" s="31">
        <f t="shared" si="5"/>
        <v>0.008565725324692209</v>
      </c>
      <c r="AF15" s="64" t="s">
        <v>147</v>
      </c>
      <c r="AG15" s="69">
        <f>AG13-AG14</f>
        <v>207642852</v>
      </c>
    </row>
    <row r="16" ht="12.75" customHeight="1" spans="1:42" x14ac:dyDescent="0.25">
      <c r="A16" s="37">
        <v>711.1</v>
      </c>
      <c r="B16" s="37" t="s">
        <v>28</v>
      </c>
      <c r="C16" s="37"/>
      <c r="D16" s="39"/>
      <c r="E16" s="40">
        <f t="shared" si="1"/>
        <v>15800000</v>
      </c>
      <c r="F16" s="41">
        <v>0</v>
      </c>
      <c r="G16" s="38">
        <v>0</v>
      </c>
      <c r="H16" s="41">
        <v>0</v>
      </c>
      <c r="I16" s="38">
        <v>0</v>
      </c>
      <c r="J16" s="41">
        <v>0</v>
      </c>
      <c r="K16" s="38">
        <v>0</v>
      </c>
      <c r="L16" s="41">
        <v>0</v>
      </c>
      <c r="M16" s="38">
        <v>0</v>
      </c>
      <c r="N16" s="41">
        <v>0</v>
      </c>
      <c r="O16" s="38">
        <v>0</v>
      </c>
      <c r="P16" s="41">
        <v>0</v>
      </c>
      <c r="Q16" s="38">
        <v>0</v>
      </c>
      <c r="R16" s="41">
        <v>0</v>
      </c>
      <c r="S16" s="38">
        <v>0</v>
      </c>
      <c r="T16" s="41">
        <f t="shared" si="3"/>
        <v>0.0012181697313861858</v>
      </c>
      <c r="U16" s="38">
        <v>2300000</v>
      </c>
      <c r="V16" s="41">
        <f t="shared" si="6"/>
        <v>0.001183966058922089</v>
      </c>
      <c r="W16" s="38">
        <v>2200000</v>
      </c>
      <c r="X16" s="70">
        <f t="shared" si="7"/>
        <v>0.0027193878418031387</v>
      </c>
      <c r="Y16" s="38">
        <v>6900000</v>
      </c>
      <c r="Z16" s="41">
        <f t="shared" si="8"/>
        <v>0.0009340926209983943</v>
      </c>
      <c r="AA16" s="38">
        <v>2300000</v>
      </c>
      <c r="AB16" s="41"/>
      <c r="AC16" s="38">
        <v>2100000</v>
      </c>
      <c r="AD16" s="39">
        <f t="shared" si="5"/>
        <v>0.0006663758331762784</v>
      </c>
      <c r="AE16" s="52"/>
      <c r="AF16" s="64" t="s">
        <v>148</v>
      </c>
      <c r="AG16" s="65">
        <f>E9</f>
        <v>23710343643</v>
      </c>
      <c r="AH16" s="52"/>
      <c r="AI16" s="52"/>
      <c r="AL16" s="52"/>
      <c r="AM16" s="52"/>
      <c r="AN16" s="52"/>
      <c r="AO16" s="52"/>
      <c r="AP16" s="52"/>
    </row>
    <row r="17" ht="12.75" customHeight="1" spans="1:33" x14ac:dyDescent="0.25">
      <c r="A17" s="27" t="s">
        <v>29</v>
      </c>
      <c r="B17" s="27" t="s">
        <v>30</v>
      </c>
      <c r="C17" s="32" t="s">
        <v>31</v>
      </c>
      <c r="D17" s="31"/>
      <c r="E17" s="29">
        <f t="shared" si="1"/>
        <v>379596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f t="shared" si="3"/>
        <v>-0.005234731681049045</v>
      </c>
      <c r="U17" s="30">
        <f>770240-10653824</f>
        <v>-9883584</v>
      </c>
      <c r="V17" s="30">
        <f t="shared" si="6"/>
        <v>-0.0060725452330532914</v>
      </c>
      <c r="W17" s="30">
        <v>-11283769</v>
      </c>
      <c r="X17" s="30">
        <f t="shared" si="7"/>
        <v>0.005951193481664863</v>
      </c>
      <c r="Y17" s="30">
        <f>28656582  -13556406</f>
        <v>15100176</v>
      </c>
      <c r="Z17" s="30">
        <f t="shared" si="8"/>
        <v>0.002615773275141605</v>
      </c>
      <c r="AA17" s="30">
        <f>6559263-118490</f>
        <v>6440773</v>
      </c>
      <c r="AB17" s="30"/>
      <c r="AC17" s="30">
        <v>6000</v>
      </c>
      <c r="AD17" s="31">
        <f t="shared" si="5"/>
        <v>0.00001600972156774573</v>
      </c>
      <c r="AF17" s="64" t="s">
        <v>149</v>
      </c>
      <c r="AG17" s="65">
        <f>E19</f>
        <v>22553248027</v>
      </c>
    </row>
    <row r="18" ht="12.75" customHeight="1" spans="1:33" x14ac:dyDescent="0.25">
      <c r="A18" s="27" t="s">
        <v>32</v>
      </c>
      <c r="B18" s="27"/>
      <c r="C18" s="32" t="s">
        <v>33</v>
      </c>
      <c r="D18" s="31"/>
      <c r="E18" s="29">
        <f t="shared" si="1"/>
        <v>48230807</v>
      </c>
      <c r="F18" s="30"/>
      <c r="G18" s="30">
        <v>4984980</v>
      </c>
      <c r="H18" s="30"/>
      <c r="I18" s="30">
        <v>7721600</v>
      </c>
      <c r="J18" s="30"/>
      <c r="K18" s="30">
        <v>24515214</v>
      </c>
      <c r="L18" s="30"/>
      <c r="M18" s="30">
        <v>14392840</v>
      </c>
      <c r="N18" s="30">
        <v>0</v>
      </c>
      <c r="O18" s="30">
        <v>6952570</v>
      </c>
      <c r="P18" s="30">
        <v>0</v>
      </c>
      <c r="Q18" s="30">
        <v>0</v>
      </c>
      <c r="R18" s="30">
        <v>0.004</v>
      </c>
      <c r="S18" s="30">
        <v>7698290</v>
      </c>
      <c r="T18" s="30">
        <f t="shared" si="3"/>
        <v>-0.01926292696627299</v>
      </c>
      <c r="U18" s="30">
        <v>-36369917</v>
      </c>
      <c r="V18" s="30">
        <f t="shared" si="6"/>
        <v>0</v>
      </c>
      <c r="W18" s="30">
        <v>0</v>
      </c>
      <c r="X18" s="30">
        <f t="shared" si="7"/>
        <v>-0.001409084309935594</v>
      </c>
      <c r="Y18" s="30">
        <v>-3575320</v>
      </c>
      <c r="Z18" s="30">
        <f t="shared" si="8"/>
        <v>0.007429023808815524</v>
      </c>
      <c r="AA18" s="30">
        <f>18499720-207364</f>
        <v>18292356</v>
      </c>
      <c r="AB18" s="30"/>
      <c r="AC18" s="30">
        <f>5965041-2346847</f>
        <v>3618194</v>
      </c>
      <c r="AD18" s="31">
        <f t="shared" si="5"/>
        <v>0.0020341673543917264</v>
      </c>
      <c r="AF18" s="64" t="s">
        <v>150</v>
      </c>
      <c r="AG18" s="69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1">
        <f t="shared" ref="D20:D67" si="10">E20/$E$10</f>
        <v>0.5389440516766867</v>
      </c>
      <c r="E20" s="29">
        <f t="shared" si="1"/>
        <v>12080946836</v>
      </c>
      <c r="F20" s="30">
        <v>0.4572</v>
      </c>
      <c r="G20" s="30">
        <f t="shared" ref="G20:U20" si="11">SUBTOTAL(9,G21:G25)</f>
        <v>1020907859</v>
      </c>
      <c r="H20" s="30">
        <f t="shared" si="11"/>
        <v>0.5814</v>
      </c>
      <c r="I20" s="30">
        <f t="shared" si="11"/>
        <v>941315262</v>
      </c>
      <c r="J20" s="30">
        <f t="shared" si="11"/>
        <v>0.46449999999999997</v>
      </c>
      <c r="K20" s="30">
        <f t="shared" si="11"/>
        <v>819692583</v>
      </c>
      <c r="L20" s="30">
        <f t="shared" si="11"/>
        <v>0.4697</v>
      </c>
      <c r="M20" s="30">
        <f t="shared" si="11"/>
        <v>859451950</v>
      </c>
      <c r="N20" s="30">
        <f t="shared" si="11"/>
        <v>0.4673</v>
      </c>
      <c r="O20" s="30">
        <f t="shared" si="11"/>
        <v>898987926</v>
      </c>
      <c r="P20" s="30">
        <f t="shared" si="11"/>
        <v>0.3901</v>
      </c>
      <c r="Q20" s="30">
        <f t="shared" si="11"/>
        <v>916217269</v>
      </c>
      <c r="R20" s="30">
        <f t="shared" si="11"/>
        <v>0.5169999999999999</v>
      </c>
      <c r="S20" s="30">
        <f t="shared" si="11"/>
        <v>1001481000</v>
      </c>
      <c r="T20" s="30">
        <f t="shared" si="11"/>
        <v>0.5546671248326608</v>
      </c>
      <c r="U20" s="30">
        <f t="shared" si="11"/>
        <v>1047255037</v>
      </c>
      <c r="V20" s="3">
        <f t="shared" ref="V20:V67" si="12">W20/$W$10</f>
        <v>0.52737566940331</v>
      </c>
      <c r="W20" s="30">
        <f t="shared" ref="W20:Y20" si="13">SUBTOTAL(9,W21:W25)</f>
        <v>979949099</v>
      </c>
      <c r="X20" s="30">
        <f t="shared" si="13"/>
        <v>0.46261420277136883</v>
      </c>
      <c r="Y20" s="30">
        <f t="shared" si="13"/>
        <v>1173807557</v>
      </c>
      <c r="Z20" s="3">
        <f t="shared" ref="Z20:Z67" si="14">AA20/$AA$10</f>
        <v>0.48473517007263156</v>
      </c>
      <c r="AA20" s="30">
        <f t="shared" ref="AA20:AC20" si="15">SUBTOTAL(9,AA21:AA25)</f>
        <v>1193554971</v>
      </c>
      <c r="AB20" s="30">
        <f t="shared" si="15"/>
        <v>0</v>
      </c>
      <c r="AC20" s="30">
        <f t="shared" si="15"/>
        <v>1228326323</v>
      </c>
      <c r="AD20" s="31">
        <f t="shared" ref="AD20:AD64" si="16">E20/$E$9</f>
        <v>0.509522216037837</v>
      </c>
    </row>
    <row r="21" ht="12.75" customHeight="1" hidden="1" spans="2:30" x14ac:dyDescent="0.25" outlineLevel="1" collapsed="1">
      <c r="B21" s="32">
        <v>334.1</v>
      </c>
      <c r="C21" s="32" t="s">
        <v>36</v>
      </c>
      <c r="D21" s="35">
        <f t="shared" si="10"/>
        <v>0.24440531523095527</v>
      </c>
      <c r="E21" s="33">
        <f t="shared" si="1"/>
        <v>5478579104</v>
      </c>
      <c r="F21" s="3">
        <v>0.1787</v>
      </c>
      <c r="G21" s="34">
        <v>399102045</v>
      </c>
      <c r="H21" s="3">
        <v>0.2125</v>
      </c>
      <c r="I21" s="34">
        <v>344041300</v>
      </c>
      <c r="J21" s="3">
        <v>0.2085</v>
      </c>
      <c r="K21" s="34">
        <v>367916299</v>
      </c>
      <c r="L21" s="3">
        <v>0.2311</v>
      </c>
      <c r="M21" s="34">
        <v>422918183</v>
      </c>
      <c r="N21" s="3">
        <v>0.2301</v>
      </c>
      <c r="O21" s="34">
        <v>442561022</v>
      </c>
      <c r="P21" s="3">
        <v>0.1887</v>
      </c>
      <c r="Q21" s="34">
        <v>443212265</v>
      </c>
      <c r="R21" s="3">
        <v>0.2602</v>
      </c>
      <c r="S21" s="34">
        <v>504052512</v>
      </c>
      <c r="T21" s="3">
        <f t="shared" ref="T21:T25" si="17">U21/$U$9</f>
        <v>0.2732322113514315</v>
      </c>
      <c r="U21" s="34">
        <v>515883846</v>
      </c>
      <c r="V21" s="3">
        <f t="shared" si="12"/>
        <v>0.2786376834466274</v>
      </c>
      <c r="W21" s="34">
        <v>517753781</v>
      </c>
      <c r="X21" s="3">
        <f t="shared" ref="X21:X25" si="18">Y21/$Y$10</f>
        <v>0.20392936022924146</v>
      </c>
      <c r="Y21" s="34">
        <v>517437257</v>
      </c>
      <c r="Z21" s="3">
        <f t="shared" si="14"/>
        <v>0.2087353907589174</v>
      </c>
      <c r="AA21" s="34">
        <v>513965519</v>
      </c>
      <c r="AB21" s="30"/>
      <c r="AC21" s="34">
        <v>489735075</v>
      </c>
      <c r="AD21" s="35">
        <f t="shared" si="16"/>
        <v>0.2310628300664651</v>
      </c>
    </row>
    <row r="22" ht="12.75" customHeight="1" hidden="1" spans="2:30" x14ac:dyDescent="0.25" outlineLevel="1" collapsed="1">
      <c r="B22" s="32">
        <v>334.2</v>
      </c>
      <c r="C22" s="32" t="s">
        <v>37</v>
      </c>
      <c r="D22" s="35">
        <f t="shared" si="10"/>
        <v>0.12773716767355855</v>
      </c>
      <c r="E22" s="33">
        <f t="shared" si="1"/>
        <v>2863350893</v>
      </c>
      <c r="F22" s="3">
        <v>0.1273</v>
      </c>
      <c r="G22" s="34">
        <v>284173664</v>
      </c>
      <c r="H22" s="3">
        <v>0.1846</v>
      </c>
      <c r="I22" s="34">
        <v>298908567</v>
      </c>
      <c r="J22" s="3">
        <v>0.1015</v>
      </c>
      <c r="K22" s="34">
        <v>179163970</v>
      </c>
      <c r="L22" s="3">
        <v>0.097</v>
      </c>
      <c r="M22" s="34">
        <v>177453906</v>
      </c>
      <c r="N22" s="3">
        <v>0.0931</v>
      </c>
      <c r="O22" s="34">
        <v>179162272</v>
      </c>
      <c r="P22" s="3">
        <v>0.0738</v>
      </c>
      <c r="Q22" s="34">
        <v>173300259</v>
      </c>
      <c r="R22" s="3">
        <v>0.1238</v>
      </c>
      <c r="S22" s="34">
        <v>239798988</v>
      </c>
      <c r="T22" s="3">
        <f t="shared" si="17"/>
        <v>0.10503249723309296</v>
      </c>
      <c r="U22" s="34">
        <v>198309593</v>
      </c>
      <c r="V22" s="3">
        <f t="shared" si="12"/>
        <v>0.10853380159190963</v>
      </c>
      <c r="W22" s="34">
        <v>201673318</v>
      </c>
      <c r="X22" s="3">
        <f t="shared" si="18"/>
        <v>0.12127312970500947</v>
      </c>
      <c r="Y22" s="34">
        <v>307710648</v>
      </c>
      <c r="Z22" s="3">
        <f t="shared" si="14"/>
        <v>0.13972669267037566</v>
      </c>
      <c r="AA22" s="34">
        <v>344046603</v>
      </c>
      <c r="AB22" s="30"/>
      <c r="AC22" s="34">
        <f>12000000+267649105</f>
        <v>279649105</v>
      </c>
      <c r="AD22" s="35">
        <f t="shared" si="16"/>
        <v>0.1207637871518301</v>
      </c>
    </row>
    <row r="23" ht="12.75" customHeight="1" hidden="1" spans="2:30" x14ac:dyDescent="0.25" outlineLevel="1" collapsed="1">
      <c r="B23" s="32">
        <v>331</v>
      </c>
      <c r="C23" s="32" t="s">
        <v>38</v>
      </c>
      <c r="D23" s="35">
        <f t="shared" si="10"/>
        <v>0.1582651140648197</v>
      </c>
      <c r="E23" s="33">
        <f t="shared" si="1"/>
        <v>3547664035</v>
      </c>
      <c r="F23" s="3">
        <v>0.1392</v>
      </c>
      <c r="G23" s="34">
        <v>310918810</v>
      </c>
      <c r="H23" s="3">
        <v>0.1748</v>
      </c>
      <c r="I23" s="34">
        <v>282992152</v>
      </c>
      <c r="J23" s="3">
        <v>0.1175</v>
      </c>
      <c r="K23" s="34">
        <v>207310304</v>
      </c>
      <c r="L23" s="3">
        <v>0.1416</v>
      </c>
      <c r="M23" s="34">
        <v>259079861</v>
      </c>
      <c r="N23" s="3">
        <v>0.132</v>
      </c>
      <c r="O23" s="34">
        <v>253971632</v>
      </c>
      <c r="P23" s="3">
        <v>0.1276</v>
      </c>
      <c r="Q23" s="34">
        <v>299704745</v>
      </c>
      <c r="R23" s="3">
        <v>0.1326</v>
      </c>
      <c r="S23" s="34">
        <v>256829500</v>
      </c>
      <c r="T23" s="3">
        <f t="shared" si="17"/>
        <v>0.16227948602145864</v>
      </c>
      <c r="U23" s="34">
        <v>306396398</v>
      </c>
      <c r="V23" s="3">
        <f t="shared" si="12"/>
        <v>0.14020418436477294</v>
      </c>
      <c r="W23" s="34">
        <v>260522000</v>
      </c>
      <c r="X23" s="3">
        <f t="shared" si="18"/>
        <v>0.12994009621321878</v>
      </c>
      <c r="Y23" s="34">
        <f>374939747-45238095</f>
        <v>329701652</v>
      </c>
      <c r="Z23" s="3">
        <f t="shared" si="14"/>
        <v>0.13584624692826486</v>
      </c>
      <c r="AA23" s="34">
        <v>334491849</v>
      </c>
      <c r="AB23" s="30"/>
      <c r="AC23" s="34">
        <f>50000000+395745132</f>
        <v>445745132</v>
      </c>
      <c r="AD23" s="35">
        <f t="shared" si="16"/>
        <v>0.14962516311092675</v>
      </c>
    </row>
    <row r="24" ht="12.75" customHeight="1" hidden="1" spans="2:30" x14ac:dyDescent="0.25" outlineLevel="1" collapsed="1">
      <c r="B24" s="32" t="s">
        <v>115</v>
      </c>
      <c r="C24" s="32" t="s">
        <v>39</v>
      </c>
      <c r="D24" s="35">
        <f t="shared" si="10"/>
        <v>0.001485236592466694</v>
      </c>
      <c r="E24" s="33">
        <f t="shared" si="1"/>
        <v>33293000</v>
      </c>
      <c r="F24" s="3">
        <v>0</v>
      </c>
      <c r="G24" s="34">
        <v>0</v>
      </c>
      <c r="H24" s="3">
        <v>0.0062</v>
      </c>
      <c r="I24" s="34">
        <v>10000000</v>
      </c>
      <c r="J24" s="3">
        <v>0</v>
      </c>
      <c r="K24" s="34">
        <v>0</v>
      </c>
      <c r="L24" s="3">
        <v>0</v>
      </c>
      <c r="M24" s="34">
        <v>0</v>
      </c>
      <c r="N24" s="3">
        <v>0.0121</v>
      </c>
      <c r="O24" s="43">
        <v>23293000</v>
      </c>
      <c r="P24" s="3">
        <v>0</v>
      </c>
      <c r="Q24" s="34">
        <v>0</v>
      </c>
      <c r="R24" s="3">
        <v>0</v>
      </c>
      <c r="S24" s="34">
        <v>0</v>
      </c>
      <c r="T24" s="3">
        <f t="shared" si="17"/>
        <v>0</v>
      </c>
      <c r="U24" s="34">
        <v>0</v>
      </c>
      <c r="V24" s="3">
        <f t="shared" si="12"/>
        <v>0</v>
      </c>
      <c r="W24" s="34"/>
      <c r="X24" s="3">
        <f t="shared" si="18"/>
        <v>0</v>
      </c>
      <c r="Y24" s="34"/>
      <c r="Z24" s="3">
        <f t="shared" si="14"/>
        <v>0</v>
      </c>
      <c r="AA24" s="34"/>
      <c r="AB24" s="30"/>
      <c r="AC24" s="34"/>
      <c r="AD24" s="35">
        <f t="shared" si="16"/>
        <v>0.0014041551021479642</v>
      </c>
    </row>
    <row r="25" ht="12.75" customHeight="1" hidden="1" spans="2:30" x14ac:dyDescent="0.25" outlineLevel="1" collapsed="1">
      <c r="B25" s="32">
        <v>154</v>
      </c>
      <c r="C25" s="32" t="s">
        <v>40</v>
      </c>
      <c r="D25" s="35">
        <f t="shared" si="10"/>
        <v>0.007051218114886419</v>
      </c>
      <c r="E25" s="33">
        <f t="shared" si="1"/>
        <v>158059804</v>
      </c>
      <c r="F25" s="3">
        <v>0.012</v>
      </c>
      <c r="G25" s="34">
        <v>26713340</v>
      </c>
      <c r="H25" s="3">
        <v>0.0033</v>
      </c>
      <c r="I25" s="34">
        <v>5373243</v>
      </c>
      <c r="J25" s="3">
        <v>0.037</v>
      </c>
      <c r="K25" s="34">
        <v>65302010</v>
      </c>
      <c r="L25" s="3">
        <v>0</v>
      </c>
      <c r="M25" s="34">
        <v>0</v>
      </c>
      <c r="N25" s="3">
        <v>0</v>
      </c>
      <c r="O25" s="43">
        <v>0</v>
      </c>
      <c r="P25" s="3">
        <v>0</v>
      </c>
      <c r="Q25" s="34">
        <v>0</v>
      </c>
      <c r="R25" s="3">
        <v>0.0004</v>
      </c>
      <c r="S25" s="34">
        <v>800000</v>
      </c>
      <c r="T25" s="3">
        <f t="shared" si="17"/>
        <v>0.014122930226677792</v>
      </c>
      <c r="U25" s="34">
        <v>26665200</v>
      </c>
      <c r="V25" s="3">
        <f t="shared" si="12"/>
        <v>0</v>
      </c>
      <c r="W25" s="34"/>
      <c r="X25" s="3">
        <f t="shared" si="18"/>
        <v>0.007471616623899117</v>
      </c>
      <c r="Y25" s="34">
        <v>18958000</v>
      </c>
      <c r="Z25" s="3">
        <f t="shared" si="14"/>
        <v>0.0004268397150736141</v>
      </c>
      <c r="AA25" s="34">
        <v>1051000</v>
      </c>
      <c r="AB25" s="30"/>
      <c r="AC25" s="34">
        <v>13197011</v>
      </c>
      <c r="AD25" s="35">
        <f t="shared" si="16"/>
        <v>0.006666280606467042</v>
      </c>
    </row>
    <row r="26" ht="12.75" customHeight="1" spans="2:30" x14ac:dyDescent="0.25">
      <c r="B26" s="44" t="s">
        <v>41</v>
      </c>
      <c r="C26" s="45"/>
      <c r="D26" s="31">
        <f t="shared" si="10"/>
        <v>0.0659099056031726</v>
      </c>
      <c r="E26" s="29">
        <f t="shared" si="1"/>
        <v>1477433628</v>
      </c>
      <c r="F26" s="30">
        <v>0.0065</v>
      </c>
      <c r="G26" s="30">
        <f t="shared" ref="G26:U26" si="19">SUBTOTAL(9,G27:G29)</f>
        <v>14525138</v>
      </c>
      <c r="H26" s="30">
        <f t="shared" si="19"/>
        <v>0.1741</v>
      </c>
      <c r="I26" s="30">
        <f t="shared" si="19"/>
        <v>281992770</v>
      </c>
      <c r="J26" s="30">
        <f t="shared" si="19"/>
        <v>0.0205</v>
      </c>
      <c r="K26" s="30">
        <f t="shared" si="19"/>
        <v>36173939</v>
      </c>
      <c r="L26" s="30">
        <f t="shared" si="19"/>
        <v>0.0131</v>
      </c>
      <c r="M26" s="30">
        <f t="shared" si="19"/>
        <v>23917338</v>
      </c>
      <c r="N26" s="30">
        <f t="shared" si="19"/>
        <v>0.1593</v>
      </c>
      <c r="O26" s="30">
        <f t="shared" si="19"/>
        <v>306316754</v>
      </c>
      <c r="P26" s="30">
        <f t="shared" si="19"/>
        <v>0.0106</v>
      </c>
      <c r="Q26" s="30">
        <f t="shared" si="19"/>
        <v>24758973</v>
      </c>
      <c r="R26" s="30">
        <f t="shared" si="19"/>
        <v>0.0172</v>
      </c>
      <c r="S26" s="30">
        <f t="shared" si="19"/>
        <v>33350746</v>
      </c>
      <c r="T26" s="30">
        <f t="shared" si="19"/>
        <v>0.17465572927853498</v>
      </c>
      <c r="U26" s="30">
        <f t="shared" si="19"/>
        <v>329763716</v>
      </c>
      <c r="V26" s="30">
        <f t="shared" si="12"/>
        <v>0.011157150976728272</v>
      </c>
      <c r="W26" s="30">
        <f t="shared" ref="W26:Y26" si="20">SUBTOTAL(9,W27:W29)</f>
        <v>20731787</v>
      </c>
      <c r="X26" s="30">
        <f t="shared" si="20"/>
        <v>0.02710518853942733</v>
      </c>
      <c r="Y26" s="30">
        <f t="shared" si="20"/>
        <v>68774964</v>
      </c>
      <c r="Z26" s="30">
        <f t="shared" si="14"/>
        <v>0.12766859864962243</v>
      </c>
      <c r="AA26" s="30">
        <f t="shared" ref="AA26:AC26" si="21">SUBTOTAL(9,AA27:AA29)</f>
        <v>314356168</v>
      </c>
      <c r="AB26" s="30">
        <f t="shared" si="21"/>
        <v>0</v>
      </c>
      <c r="AC26" s="30">
        <f t="shared" si="21"/>
        <v>22771335</v>
      </c>
      <c r="AD26" s="31">
        <f t="shared" si="16"/>
        <v>0.06231177625450327</v>
      </c>
    </row>
    <row r="27" ht="12.75" customHeight="1" hidden="1" spans="1:30" x14ac:dyDescent="0.25" outlineLevel="1" collapsed="1">
      <c r="A27" s="32" t="s">
        <v>42</v>
      </c>
      <c r="B27" s="45">
        <v>242</v>
      </c>
      <c r="C27" s="45" t="s">
        <v>43</v>
      </c>
      <c r="D27" s="35">
        <f t="shared" si="10"/>
        <v>0.05095753823879467</v>
      </c>
      <c r="E27" s="33">
        <f t="shared" si="1"/>
        <v>1142262000</v>
      </c>
      <c r="F27" s="3">
        <v>0</v>
      </c>
      <c r="G27" s="34">
        <v>0</v>
      </c>
      <c r="H27" s="3">
        <v>0.1664</v>
      </c>
      <c r="I27" s="34">
        <v>269505600</v>
      </c>
      <c r="J27" s="3">
        <v>0.006</v>
      </c>
      <c r="K27" s="34">
        <v>10560000</v>
      </c>
      <c r="L27" s="3">
        <v>0</v>
      </c>
      <c r="M27" s="34">
        <v>0</v>
      </c>
      <c r="N27" s="3">
        <v>0.1447</v>
      </c>
      <c r="O27" s="43">
        <v>278230680</v>
      </c>
      <c r="P27" s="3">
        <v>0</v>
      </c>
      <c r="Q27" s="34">
        <v>0</v>
      </c>
      <c r="R27" s="3">
        <v>0</v>
      </c>
      <c r="S27" s="34">
        <v>0</v>
      </c>
      <c r="T27" s="3">
        <f t="shared" ref="T27:T29" si="22">U27/$U$9</f>
        <v>0.1564686056064191</v>
      </c>
      <c r="U27" s="34">
        <v>295425000</v>
      </c>
      <c r="V27" s="3">
        <f t="shared" si="12"/>
        <v>0</v>
      </c>
      <c r="W27" s="34"/>
      <c r="X27" s="3">
        <f t="shared" ref="X27:X29" si="23">Y27/$Y$10</f>
        <v>0</v>
      </c>
      <c r="Y27" s="34"/>
      <c r="Z27" s="3">
        <f t="shared" si="14"/>
        <v>0.11718424235198427</v>
      </c>
      <c r="AA27" s="34">
        <v>288540720</v>
      </c>
      <c r="AB27" s="30"/>
      <c r="AC27" s="34"/>
      <c r="AD27" s="35">
        <f t="shared" si="16"/>
        <v>0.04817568303516469</v>
      </c>
    </row>
    <row r="28" ht="12.75" customHeight="1" hidden="1" spans="2:32" x14ac:dyDescent="0.25" outlineLevel="1" collapsed="1">
      <c r="B28" s="32">
        <v>6422.2</v>
      </c>
      <c r="C28" s="32" t="s">
        <v>44</v>
      </c>
      <c r="D28" s="35">
        <f t="shared" si="10"/>
        <v>0.010249119998824587</v>
      </c>
      <c r="E28" s="33">
        <f t="shared" si="1"/>
        <v>229743836</v>
      </c>
      <c r="F28" s="3">
        <v>0.006</v>
      </c>
      <c r="G28" s="34">
        <v>13452448</v>
      </c>
      <c r="H28" s="3">
        <v>0.0073</v>
      </c>
      <c r="I28" s="34">
        <v>11852360</v>
      </c>
      <c r="J28" s="3">
        <v>0.0072</v>
      </c>
      <c r="K28" s="34">
        <v>12704505</v>
      </c>
      <c r="L28" s="3">
        <v>0.0095</v>
      </c>
      <c r="M28" s="34">
        <v>17377870</v>
      </c>
      <c r="N28" s="3">
        <v>0.0109</v>
      </c>
      <c r="O28" s="43">
        <v>21000714</v>
      </c>
      <c r="P28" s="3">
        <v>0.0099</v>
      </c>
      <c r="Q28" s="34">
        <v>23204393</v>
      </c>
      <c r="R28" s="3">
        <v>0.0115</v>
      </c>
      <c r="S28" s="34">
        <v>22245946</v>
      </c>
      <c r="T28" s="3">
        <f t="shared" si="22"/>
        <v>0.012098649386883126</v>
      </c>
      <c r="U28" s="34">
        <v>22843199</v>
      </c>
      <c r="V28" s="3">
        <f t="shared" si="12"/>
        <v>0.01101341749717513</v>
      </c>
      <c r="W28" s="34">
        <v>20464707</v>
      </c>
      <c r="X28" s="3">
        <f t="shared" si="23"/>
        <v>0.008350479027695914</v>
      </c>
      <c r="Y28" s="34">
        <v>21187969</v>
      </c>
      <c r="Z28" s="3">
        <f t="shared" si="14"/>
        <v>0.008410783176263465</v>
      </c>
      <c r="AA28" s="34">
        <v>20709725</v>
      </c>
      <c r="AB28" s="30"/>
      <c r="AC28" s="34">
        <f>1700000+21000000</f>
        <v>22700000</v>
      </c>
      <c r="AD28" s="35">
        <f t="shared" si="16"/>
        <v>0.00968960380579837</v>
      </c>
      <c r="AF28" s="34"/>
    </row>
    <row r="29" ht="12.75" customHeight="1" hidden="1" spans="2:30" x14ac:dyDescent="0.25" outlineLevel="1" collapsed="1">
      <c r="B29" s="32">
        <v>6422.3</v>
      </c>
      <c r="C29" s="32" t="s">
        <v>45</v>
      </c>
      <c r="D29" s="35">
        <f t="shared" si="10"/>
        <v>0.004703247365553341</v>
      </c>
      <c r="E29" s="33">
        <f t="shared" si="1"/>
        <v>105427792</v>
      </c>
      <c r="F29" s="3">
        <v>0.0005</v>
      </c>
      <c r="G29" s="34">
        <v>1072690</v>
      </c>
      <c r="H29" s="3">
        <v>0.0004</v>
      </c>
      <c r="I29" s="34">
        <v>634810</v>
      </c>
      <c r="J29" s="3">
        <v>0.0073</v>
      </c>
      <c r="K29" s="34">
        <v>12909434</v>
      </c>
      <c r="L29" s="3">
        <v>0.0036</v>
      </c>
      <c r="M29" s="34">
        <v>6539468</v>
      </c>
      <c r="N29" s="3">
        <v>0.0037</v>
      </c>
      <c r="O29" s="43">
        <v>7085360</v>
      </c>
      <c r="P29" s="3">
        <v>0.0007</v>
      </c>
      <c r="Q29" s="34">
        <v>1554580</v>
      </c>
      <c r="R29" s="3">
        <v>0.0057</v>
      </c>
      <c r="S29" s="34">
        <v>11104800</v>
      </c>
      <c r="T29" s="3">
        <f t="shared" si="22"/>
        <v>0.006088474285232753</v>
      </c>
      <c r="U29" s="34">
        <v>11495517</v>
      </c>
      <c r="V29" s="3">
        <f t="shared" si="12"/>
        <v>0.0001437334795531416</v>
      </c>
      <c r="W29" s="34">
        <v>267080</v>
      </c>
      <c r="X29" s="3">
        <f t="shared" si="23"/>
        <v>0.018754709511731416</v>
      </c>
      <c r="Y29" s="34">
        <f>45720000+1866995</f>
        <v>47586995</v>
      </c>
      <c r="Z29" s="3">
        <f t="shared" si="14"/>
        <v>0.002073573121374689</v>
      </c>
      <c r="AA29" s="34">
        <v>5105723</v>
      </c>
      <c r="AB29" s="30"/>
      <c r="AC29" s="34">
        <v>71335</v>
      </c>
      <c r="AD29" s="35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1">
        <f t="shared" si="10"/>
        <v>0.0022376024090632997</v>
      </c>
      <c r="E30" s="29">
        <f t="shared" si="1"/>
        <v>50158000</v>
      </c>
      <c r="F30" s="30">
        <v>0.0027</v>
      </c>
      <c r="G30" s="30">
        <f t="shared" ref="G30:U30" si="24">SUBTOTAL(9,G31:G32)</f>
        <v>6000000</v>
      </c>
      <c r="H30" s="30">
        <f t="shared" si="24"/>
        <v>0.0037</v>
      </c>
      <c r="I30" s="30">
        <f t="shared" si="24"/>
        <v>6000000</v>
      </c>
      <c r="J30" s="30">
        <f t="shared" si="24"/>
        <v>0.0181</v>
      </c>
      <c r="K30" s="30">
        <f t="shared" si="24"/>
        <v>31900000</v>
      </c>
      <c r="L30" s="30">
        <f t="shared" si="24"/>
        <v>0</v>
      </c>
      <c r="M30" s="30">
        <f t="shared" si="24"/>
        <v>0</v>
      </c>
      <c r="N30" s="30">
        <f t="shared" si="24"/>
        <v>0</v>
      </c>
      <c r="O30" s="30">
        <f t="shared" si="24"/>
        <v>0</v>
      </c>
      <c r="P30" s="30">
        <f t="shared" si="24"/>
        <v>0.0001</v>
      </c>
      <c r="Q30" s="30">
        <f t="shared" si="24"/>
        <v>258000</v>
      </c>
      <c r="R30" s="30">
        <f t="shared" si="24"/>
        <v>0</v>
      </c>
      <c r="S30" s="30">
        <f t="shared" si="24"/>
        <v>0</v>
      </c>
      <c r="T30" s="30">
        <f t="shared" si="24"/>
        <v>0.0031778340818770065</v>
      </c>
      <c r="U30" s="30">
        <f t="shared" si="24"/>
        <v>6000000</v>
      </c>
      <c r="V30" s="30">
        <f t="shared" si="12"/>
        <v>0</v>
      </c>
      <c r="W30" s="30">
        <f t="shared" ref="W30:Y30" si="25">SUBTOTAL(9,W31:W32)</f>
        <v>0</v>
      </c>
      <c r="X30" s="30">
        <f t="shared" si="25"/>
        <v>0</v>
      </c>
      <c r="Y30" s="30">
        <f t="shared" si="25"/>
        <v>0</v>
      </c>
      <c r="Z30" s="3">
        <f t="shared" si="14"/>
        <v>0</v>
      </c>
      <c r="AA30" s="30">
        <f t="shared" ref="AA30:AC30" si="26">SUBTOTAL(9,AA31:AA32)</f>
        <v>0</v>
      </c>
      <c r="AB30" s="30">
        <f t="shared" si="26"/>
        <v>0</v>
      </c>
      <c r="AC30" s="30">
        <f t="shared" si="26"/>
        <v>0</v>
      </c>
      <c r="AD30" s="31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2">
        <v>6421.1</v>
      </c>
      <c r="C31" s="32" t="s">
        <v>48</v>
      </c>
      <c r="D31" s="35">
        <f t="shared" si="10"/>
        <v>0.0005353329261286255</v>
      </c>
      <c r="E31" s="33">
        <f t="shared" si="1"/>
        <v>12000000</v>
      </c>
      <c r="F31" s="3">
        <v>0.0027</v>
      </c>
      <c r="G31" s="34">
        <v>6000000</v>
      </c>
      <c r="H31" s="3">
        <v>0.0037</v>
      </c>
      <c r="I31" s="34">
        <v>6000000</v>
      </c>
      <c r="J31" s="3">
        <v>0</v>
      </c>
      <c r="K31" s="34">
        <v>0</v>
      </c>
      <c r="L31" s="3">
        <v>0</v>
      </c>
      <c r="M31" s="34">
        <v>0</v>
      </c>
      <c r="N31" s="3">
        <v>0</v>
      </c>
      <c r="O31" s="43">
        <v>0</v>
      </c>
      <c r="P31" s="3">
        <v>0</v>
      </c>
      <c r="Q31" s="34">
        <v>0</v>
      </c>
      <c r="R31" s="3">
        <v>0</v>
      </c>
      <c r="S31" s="34">
        <v>0</v>
      </c>
      <c r="T31" s="3">
        <f t="shared" ref="T31:T32" si="27">U31/$U$9</f>
        <v>0</v>
      </c>
      <c r="U31" s="34">
        <v>0</v>
      </c>
      <c r="V31" s="3">
        <f t="shared" si="12"/>
        <v>0</v>
      </c>
      <c r="W31" s="34"/>
      <c r="X31" s="3">
        <f t="shared" ref="X31:X32" si="28">Y31/$Y$10</f>
        <v>0</v>
      </c>
      <c r="Y31" s="34"/>
      <c r="Z31" s="3">
        <f t="shared" si="14"/>
        <v>0</v>
      </c>
      <c r="AA31" s="34"/>
      <c r="AB31" s="30"/>
      <c r="AC31" s="34"/>
      <c r="AD31" s="35">
        <f t="shared" si="16"/>
        <v>0.000506108227728819</v>
      </c>
    </row>
    <row r="32" ht="12.75" customHeight="1" spans="1:30" x14ac:dyDescent="0.25" outlineLevel="1" collapsed="1">
      <c r="A32" s="32"/>
      <c r="B32" s="32">
        <v>6422.4</v>
      </c>
      <c r="C32" s="32" t="s">
        <v>49</v>
      </c>
      <c r="D32" s="35">
        <f t="shared" si="10"/>
        <v>0.0017022694829346742</v>
      </c>
      <c r="E32" s="33">
        <f t="shared" si="1"/>
        <v>38158000</v>
      </c>
      <c r="F32" s="3">
        <v>0</v>
      </c>
      <c r="G32" s="34">
        <v>0</v>
      </c>
      <c r="H32" s="3">
        <v>0</v>
      </c>
      <c r="I32" s="34">
        <v>0</v>
      </c>
      <c r="J32" s="3">
        <v>0.0181</v>
      </c>
      <c r="K32" s="34">
        <v>31900000</v>
      </c>
      <c r="L32" s="3">
        <v>0</v>
      </c>
      <c r="M32" s="34">
        <v>0</v>
      </c>
      <c r="N32" s="3">
        <v>0</v>
      </c>
      <c r="O32" s="43">
        <v>0</v>
      </c>
      <c r="P32" s="3">
        <v>0.0001</v>
      </c>
      <c r="Q32" s="34">
        <v>258000</v>
      </c>
      <c r="R32" s="3">
        <v>0</v>
      </c>
      <c r="S32" s="34">
        <v>0</v>
      </c>
      <c r="T32" s="3">
        <f t="shared" si="27"/>
        <v>0.0031778340818770065</v>
      </c>
      <c r="U32" s="34">
        <v>6000000</v>
      </c>
      <c r="V32" s="3">
        <f t="shared" si="12"/>
        <v>0</v>
      </c>
      <c r="W32" s="34"/>
      <c r="X32" s="3">
        <f t="shared" si="28"/>
        <v>0</v>
      </c>
      <c r="Y32" s="34"/>
      <c r="Z32" s="3">
        <f t="shared" si="14"/>
        <v>0</v>
      </c>
      <c r="AA32" s="34"/>
      <c r="AB32" s="30"/>
      <c r="AC32" s="34"/>
      <c r="AD32" s="35">
        <f t="shared" si="16"/>
        <v>0.0016093398128063563</v>
      </c>
    </row>
    <row r="33" ht="12.75" customHeight="1" spans="1:30" x14ac:dyDescent="0.25">
      <c r="A33" s="32"/>
      <c r="B33" s="27" t="s">
        <v>50</v>
      </c>
      <c r="C33" s="48"/>
      <c r="D33" s="31">
        <f t="shared" si="10"/>
        <v>0.0433758987881547</v>
      </c>
      <c r="E33" s="29">
        <f t="shared" si="1"/>
        <v>972312294</v>
      </c>
      <c r="F33" s="30">
        <v>0.0192</v>
      </c>
      <c r="G33" s="30">
        <f t="shared" ref="G33:U33" si="29">SUBTOTAL(9,G34:G35)</f>
        <v>42881806</v>
      </c>
      <c r="H33" s="30">
        <f t="shared" si="29"/>
        <v>0.0278</v>
      </c>
      <c r="I33" s="30">
        <f t="shared" si="29"/>
        <v>44977675</v>
      </c>
      <c r="J33" s="30">
        <f t="shared" si="29"/>
        <v>0.0322</v>
      </c>
      <c r="K33" s="30">
        <f t="shared" si="29"/>
        <v>56896750</v>
      </c>
      <c r="L33" s="30">
        <f t="shared" si="29"/>
        <v>0.0318</v>
      </c>
      <c r="M33" s="30">
        <f t="shared" si="29"/>
        <v>58183538</v>
      </c>
      <c r="N33" s="30">
        <f t="shared" si="29"/>
        <v>0.023799999999999998</v>
      </c>
      <c r="O33" s="30">
        <f t="shared" si="29"/>
        <v>45695000</v>
      </c>
      <c r="P33" s="30">
        <f t="shared" si="29"/>
        <v>0.0179</v>
      </c>
      <c r="Q33" s="30">
        <f t="shared" si="29"/>
        <v>42029000</v>
      </c>
      <c r="R33" s="30">
        <f t="shared" si="29"/>
        <v>0.0424</v>
      </c>
      <c r="S33" s="30">
        <f t="shared" si="29"/>
        <v>82225754</v>
      </c>
      <c r="T33" s="30">
        <f t="shared" si="29"/>
        <v>0.028645727315878167</v>
      </c>
      <c r="U33" s="30">
        <f t="shared" si="29"/>
        <v>54085380</v>
      </c>
      <c r="V33" s="30">
        <f t="shared" si="12"/>
        <v>0.041196855682139016</v>
      </c>
      <c r="W33" s="30">
        <f t="shared" ref="W33:Y33" si="30">SUBTOTAL(9,W34:W35)</f>
        <v>76550406</v>
      </c>
      <c r="X33" s="30">
        <f t="shared" si="30"/>
        <v>0.08704869414771191</v>
      </c>
      <c r="Y33" s="30">
        <f t="shared" si="30"/>
        <v>220871764</v>
      </c>
      <c r="Z33" s="30">
        <f t="shared" si="14"/>
        <v>0.06158995376595669</v>
      </c>
      <c r="AA33" s="30">
        <f t="shared" ref="AA33:AC33" si="31">SUBTOTAL(9,AA34:AA35)</f>
        <v>151651871</v>
      </c>
      <c r="AB33" s="30">
        <f t="shared" si="31"/>
        <v>0</v>
      </c>
      <c r="AC33" s="30">
        <f t="shared" si="31"/>
        <v>96263350</v>
      </c>
      <c r="AD33" s="31">
        <f t="shared" si="16"/>
        <v>0.04100793765960687</v>
      </c>
    </row>
    <row r="34" ht="12.75" customHeight="1" spans="1:30" x14ac:dyDescent="0.25" outlineLevel="1" collapsed="1">
      <c r="A34" s="32">
        <v>6421.2</v>
      </c>
      <c r="B34" s="32">
        <v>334.5</v>
      </c>
      <c r="C34" s="32" t="s">
        <v>51</v>
      </c>
      <c r="D34" s="35">
        <f t="shared" si="10"/>
        <v>0.017528455964636022</v>
      </c>
      <c r="E34" s="33">
        <f t="shared" si="1"/>
        <v>392917120</v>
      </c>
      <c r="F34" s="3">
        <v>0.0154</v>
      </c>
      <c r="G34" s="34">
        <v>34465550</v>
      </c>
      <c r="H34" s="3">
        <v>0.0206</v>
      </c>
      <c r="I34" s="34">
        <v>33377875</v>
      </c>
      <c r="J34" s="3">
        <v>0.0195</v>
      </c>
      <c r="K34" s="34">
        <v>34465550</v>
      </c>
      <c r="L34" s="3">
        <v>0.0189</v>
      </c>
      <c r="M34" s="34">
        <v>34529000</v>
      </c>
      <c r="N34" s="3">
        <v>0.018</v>
      </c>
      <c r="O34" s="43">
        <v>34529000</v>
      </c>
      <c r="P34" s="3">
        <v>0.0147</v>
      </c>
      <c r="Q34" s="34">
        <v>34529000</v>
      </c>
      <c r="R34" s="3">
        <v>0.0144</v>
      </c>
      <c r="S34" s="34">
        <v>27960594</v>
      </c>
      <c r="T34" s="3">
        <f t="shared" ref="T34:T35" si="32">U34/$U$9</f>
        <v>0.013074340314680835</v>
      </c>
      <c r="U34" s="34">
        <v>24685380</v>
      </c>
      <c r="V34" s="3">
        <f t="shared" si="12"/>
        <v>0.017238764313460126</v>
      </c>
      <c r="W34" s="34">
        <v>32032406</v>
      </c>
      <c r="X34" s="3">
        <f t="shared" ref="X34:X35" si="33">Y34/$Y$10</f>
        <v>0.012870217884455823</v>
      </c>
      <c r="Y34" s="34">
        <v>32656064</v>
      </c>
      <c r="Z34" s="3">
        <f t="shared" si="14"/>
        <v>0.01415083350432914</v>
      </c>
      <c r="AA34" s="34">
        <v>34843351</v>
      </c>
      <c r="AB34" s="30"/>
      <c r="AC34" s="34">
        <v>34843350</v>
      </c>
      <c r="AD34" s="35">
        <f t="shared" si="16"/>
        <v>0.01657154893729264</v>
      </c>
    </row>
    <row r="35" ht="12.75" customHeight="1" spans="1:30" x14ac:dyDescent="0.25" outlineLevel="1" collapsed="1">
      <c r="A35" s="27"/>
      <c r="B35" s="32">
        <v>6422.5</v>
      </c>
      <c r="C35" s="32" t="s">
        <v>52</v>
      </c>
      <c r="D35" s="35">
        <f t="shared" si="10"/>
        <v>0.025847442823518675</v>
      </c>
      <c r="E35" s="33">
        <f t="shared" si="1"/>
        <v>579395174</v>
      </c>
      <c r="F35" s="3">
        <v>0.0038</v>
      </c>
      <c r="G35" s="34">
        <v>8416256</v>
      </c>
      <c r="H35" s="3">
        <v>0.0072</v>
      </c>
      <c r="I35" s="34">
        <v>11599800</v>
      </c>
      <c r="J35" s="3">
        <v>0.0127</v>
      </c>
      <c r="K35" s="34">
        <v>22431200</v>
      </c>
      <c r="L35" s="3">
        <v>0.0129</v>
      </c>
      <c r="M35" s="34">
        <v>23654538</v>
      </c>
      <c r="N35" s="3">
        <v>0.0058</v>
      </c>
      <c r="O35" s="43">
        <v>11166000</v>
      </c>
      <c r="P35" s="3">
        <v>0.0032</v>
      </c>
      <c r="Q35" s="34">
        <v>7500000</v>
      </c>
      <c r="R35" s="3">
        <v>0.028</v>
      </c>
      <c r="S35" s="34">
        <v>54265160</v>
      </c>
      <c r="T35" s="3">
        <f t="shared" si="32"/>
        <v>0.015571387001197331</v>
      </c>
      <c r="U35" s="34">
        <v>29400000</v>
      </c>
      <c r="V35" s="3">
        <f t="shared" si="12"/>
        <v>0.02395809136867889</v>
      </c>
      <c r="W35" s="34">
        <v>44518000</v>
      </c>
      <c r="X35" s="3">
        <f t="shared" si="33"/>
        <v>0.07417847626325609</v>
      </c>
      <c r="Y35" s="34">
        <v>188215700</v>
      </c>
      <c r="Z35" s="3">
        <f t="shared" si="14"/>
        <v>0.04743912026162755</v>
      </c>
      <c r="AA35" s="34">
        <v>116808520</v>
      </c>
      <c r="AB35" s="30"/>
      <c r="AC35" s="34">
        <f>16520000+24900000+20000000</f>
        <v>61420000</v>
      </c>
      <c r="AD35" s="35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1">
        <f t="shared" si="10"/>
        <v>0.01944257809975684</v>
      </c>
      <c r="E36" s="29">
        <f t="shared" si="1"/>
        <v>435824000</v>
      </c>
      <c r="F36" s="30">
        <v>0.02</v>
      </c>
      <c r="G36" s="30">
        <f t="shared" ref="G36:U36" si="34">SUBTOTAL(9,G37:G38)</f>
        <v>44604500</v>
      </c>
      <c r="H36" s="30">
        <f t="shared" si="34"/>
        <v>0.0209</v>
      </c>
      <c r="I36" s="30">
        <f t="shared" si="34"/>
        <v>33864500</v>
      </c>
      <c r="J36" s="30">
        <f t="shared" si="34"/>
        <v>0.0187</v>
      </c>
      <c r="K36" s="30">
        <f t="shared" si="34"/>
        <v>33029000</v>
      </c>
      <c r="L36" s="30">
        <f t="shared" si="34"/>
        <v>0.018199999999999997</v>
      </c>
      <c r="M36" s="30">
        <f t="shared" si="34"/>
        <v>33409000</v>
      </c>
      <c r="N36" s="30">
        <f t="shared" si="34"/>
        <v>0.0172</v>
      </c>
      <c r="O36" s="30">
        <f t="shared" si="34"/>
        <v>33029000</v>
      </c>
      <c r="P36" s="30">
        <f t="shared" si="34"/>
        <v>0.0141</v>
      </c>
      <c r="Q36" s="30">
        <f t="shared" si="34"/>
        <v>33029000</v>
      </c>
      <c r="R36" s="30">
        <f t="shared" si="34"/>
        <v>0.0194</v>
      </c>
      <c r="S36" s="30">
        <f t="shared" si="34"/>
        <v>37529000</v>
      </c>
      <c r="T36" s="30">
        <f t="shared" si="34"/>
        <v>0.01984345528526732</v>
      </c>
      <c r="U36" s="30">
        <f t="shared" si="34"/>
        <v>37466000</v>
      </c>
      <c r="V36" s="30">
        <f t="shared" si="12"/>
        <v>0.020162941983443178</v>
      </c>
      <c r="W36" s="30">
        <f t="shared" ref="W36:Y36" si="35">SUBTOTAL(9,W37:W38)</f>
        <v>37466000</v>
      </c>
      <c r="X36" s="30">
        <f t="shared" si="35"/>
        <v>0.014765881866811072</v>
      </c>
      <c r="Y36" s="30">
        <f t="shared" si="35"/>
        <v>37466000</v>
      </c>
      <c r="Z36" s="30">
        <f t="shared" si="14"/>
        <v>0.015215962668837322</v>
      </c>
      <c r="AA36" s="30">
        <f t="shared" ref="AA36:AC36" si="36">SUBTOTAL(9,AA37:AA38)</f>
        <v>37466000</v>
      </c>
      <c r="AB36" s="30">
        <f t="shared" si="36"/>
        <v>0</v>
      </c>
      <c r="AC36" s="30">
        <f t="shared" si="36"/>
        <v>37466000</v>
      </c>
      <c r="AD36" s="31">
        <f t="shared" si="16"/>
        <v>0.018381176020140402</v>
      </c>
    </row>
    <row r="37" ht="12.75" customHeight="1" spans="1:30" x14ac:dyDescent="0.25" outlineLevel="1" collapsed="1">
      <c r="A37" s="32">
        <v>6422.6</v>
      </c>
      <c r="B37" s="32">
        <v>334.3</v>
      </c>
      <c r="C37" s="32" t="s">
        <v>54</v>
      </c>
      <c r="D37" s="35">
        <f t="shared" si="10"/>
        <v>0.01891973627523788</v>
      </c>
      <c r="E37" s="33">
        <f t="shared" si="1"/>
        <v>424104000</v>
      </c>
      <c r="F37" s="3">
        <v>0.0149</v>
      </c>
      <c r="G37" s="34">
        <v>33264500</v>
      </c>
      <c r="H37" s="3">
        <v>0.0209</v>
      </c>
      <c r="I37" s="34">
        <v>33864500</v>
      </c>
      <c r="J37" s="3">
        <v>0.0187</v>
      </c>
      <c r="K37" s="34">
        <v>33029000</v>
      </c>
      <c r="L37" s="3">
        <v>0.018</v>
      </c>
      <c r="M37" s="34">
        <v>33029000</v>
      </c>
      <c r="N37" s="3">
        <v>0.0172</v>
      </c>
      <c r="O37" s="43">
        <v>33029000</v>
      </c>
      <c r="P37" s="3">
        <v>0.0141</v>
      </c>
      <c r="Q37" s="34">
        <v>33029000</v>
      </c>
      <c r="R37" s="3">
        <v>0.0194</v>
      </c>
      <c r="S37" s="34">
        <v>37529000</v>
      </c>
      <c r="T37" s="3">
        <f t="shared" ref="T37:T38" si="37">U37/$U$9</f>
        <v>0.01984345528526732</v>
      </c>
      <c r="U37" s="34">
        <v>37466000</v>
      </c>
      <c r="V37" s="3">
        <f t="shared" si="12"/>
        <v>0.020162941983443178</v>
      </c>
      <c r="W37" s="34">
        <v>37466000</v>
      </c>
      <c r="X37" s="3">
        <f t="shared" ref="X37:X38" si="38">Y37/$Y$10</f>
        <v>0.014765881866811072</v>
      </c>
      <c r="Y37" s="34">
        <v>37466000</v>
      </c>
      <c r="Z37" s="3">
        <f t="shared" si="14"/>
        <v>0.015215962668837322</v>
      </c>
      <c r="AA37" s="34">
        <v>37466000</v>
      </c>
      <c r="AB37" s="30"/>
      <c r="AC37" s="34">
        <v>37466000</v>
      </c>
      <c r="AD37" s="35">
        <f t="shared" si="16"/>
        <v>0.01788687698439192</v>
      </c>
    </row>
    <row r="38" ht="12.75" customHeight="1" spans="1:30" x14ac:dyDescent="0.25" outlineLevel="1" collapsed="1">
      <c r="A38" s="27"/>
      <c r="B38" s="32">
        <v>6422.7</v>
      </c>
      <c r="C38" s="32" t="s">
        <v>55</v>
      </c>
      <c r="D38" s="35">
        <f t="shared" si="10"/>
        <v>0.0005228418245189576</v>
      </c>
      <c r="E38" s="33">
        <f t="shared" si="1"/>
        <v>11720000</v>
      </c>
      <c r="F38" s="3">
        <v>0.0051</v>
      </c>
      <c r="G38" s="34">
        <v>11340000</v>
      </c>
      <c r="H38" s="3">
        <v>0</v>
      </c>
      <c r="I38" s="34">
        <v>0</v>
      </c>
      <c r="J38" s="3">
        <v>0</v>
      </c>
      <c r="K38" s="34">
        <v>0</v>
      </c>
      <c r="L38" s="3">
        <v>0.0002</v>
      </c>
      <c r="M38" s="34">
        <v>380000</v>
      </c>
      <c r="N38" s="3">
        <v>0</v>
      </c>
      <c r="O38" s="43">
        <v>0</v>
      </c>
      <c r="P38" s="3">
        <v>0</v>
      </c>
      <c r="Q38" s="34">
        <v>0</v>
      </c>
      <c r="R38" s="3">
        <v>0</v>
      </c>
      <c r="S38" s="34">
        <v>0</v>
      </c>
      <c r="T38" s="3">
        <f t="shared" si="37"/>
        <v>0</v>
      </c>
      <c r="U38" s="34">
        <v>0</v>
      </c>
      <c r="V38" s="3">
        <f t="shared" si="12"/>
        <v>0</v>
      </c>
      <c r="W38" s="34"/>
      <c r="X38" s="3">
        <f t="shared" si="38"/>
        <v>0</v>
      </c>
      <c r="Y38" s="34"/>
      <c r="Z38" s="3">
        <f t="shared" si="14"/>
        <v>0</v>
      </c>
      <c r="AA38" s="34"/>
      <c r="AB38" s="30"/>
      <c r="AC38" s="34"/>
      <c r="AD38" s="35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1">
        <f t="shared" si="10"/>
        <v>0.07104587711612687</v>
      </c>
      <c r="E39" s="29">
        <f t="shared" si="1"/>
        <v>1592561346</v>
      </c>
      <c r="F39" s="30">
        <v>0.0247</v>
      </c>
      <c r="G39" s="30">
        <f t="shared" ref="G39:U39" si="39">SUBTOTAL(9,G40:G45)</f>
        <v>55247392</v>
      </c>
      <c r="H39" s="30">
        <f t="shared" si="39"/>
        <v>0.045</v>
      </c>
      <c r="I39" s="30">
        <f t="shared" si="39"/>
        <v>72806980</v>
      </c>
      <c r="J39" s="30">
        <f t="shared" si="39"/>
        <v>0.07490000000000001</v>
      </c>
      <c r="K39" s="30">
        <f t="shared" si="39"/>
        <v>132411151</v>
      </c>
      <c r="L39" s="30">
        <f t="shared" si="39"/>
        <v>0.06559999999999999</v>
      </c>
      <c r="M39" s="30">
        <f t="shared" si="39"/>
        <v>120029622</v>
      </c>
      <c r="N39" s="30">
        <f t="shared" si="39"/>
        <v>0.06999999999999999</v>
      </c>
      <c r="O39" s="30">
        <f t="shared" si="39"/>
        <v>134652931</v>
      </c>
      <c r="P39" s="30">
        <f t="shared" si="39"/>
        <v>0.0367</v>
      </c>
      <c r="Q39" s="30">
        <f t="shared" si="39"/>
        <v>86046643</v>
      </c>
      <c r="R39" s="30">
        <f t="shared" si="39"/>
        <v>0.058</v>
      </c>
      <c r="S39" s="30">
        <f t="shared" si="39"/>
        <v>112528222</v>
      </c>
      <c r="T39" s="30">
        <f t="shared" si="39"/>
        <v>0.0946970065891357</v>
      </c>
      <c r="U39" s="30">
        <f t="shared" si="39"/>
        <v>178795376</v>
      </c>
      <c r="V39" s="30">
        <f t="shared" si="12"/>
        <v>0.10762057950967795</v>
      </c>
      <c r="W39" s="30">
        <f t="shared" ref="W39:Y39" si="40">SUBTOTAL(9,W40:W45)</f>
        <v>199976404</v>
      </c>
      <c r="X39" s="30">
        <f t="shared" si="40"/>
        <v>0.07599174239989052</v>
      </c>
      <c r="Y39" s="30">
        <f t="shared" si="40"/>
        <v>192816565</v>
      </c>
      <c r="Z39" s="30">
        <f t="shared" si="14"/>
        <v>0.06366834883589187</v>
      </c>
      <c r="AA39" s="30">
        <f t="shared" ref="AA39:AC39" si="41">SUBTOTAL(9,AA40:AA45)</f>
        <v>156769467</v>
      </c>
      <c r="AB39" s="30">
        <f t="shared" si="41"/>
        <v>0</v>
      </c>
      <c r="AC39" s="30">
        <f t="shared" si="41"/>
        <v>150480593</v>
      </c>
      <c r="AD39" s="31">
        <f t="shared" si="16"/>
        <v>0.0671673666977902</v>
      </c>
      <c r="AE39" s="32">
        <f>8/100*E10</f>
        <v>1793276582</v>
      </c>
      <c r="AF39" s="34">
        <f>AE39-E39-E46</f>
        <v>-181542357</v>
      </c>
    </row>
    <row r="40" ht="12.75" customHeight="1" spans="1:30" x14ac:dyDescent="0.25" outlineLevel="1" collapsed="1">
      <c r="A40" s="32">
        <v>6421.3</v>
      </c>
      <c r="B40" s="32">
        <v>334.6</v>
      </c>
      <c r="C40" s="32" t="s">
        <v>57</v>
      </c>
      <c r="D40" s="35">
        <f t="shared" si="10"/>
        <v>0.033827591375974374</v>
      </c>
      <c r="E40" s="33">
        <f t="shared" si="1"/>
        <v>758277843</v>
      </c>
      <c r="F40" s="3">
        <v>0.0108</v>
      </c>
      <c r="G40" s="34">
        <v>24115000</v>
      </c>
      <c r="H40" s="3">
        <v>0.015</v>
      </c>
      <c r="I40" s="34">
        <v>24256000</v>
      </c>
      <c r="J40" s="3">
        <v>0.0228</v>
      </c>
      <c r="K40" s="34">
        <v>40243750</v>
      </c>
      <c r="L40" s="3">
        <v>0.0275</v>
      </c>
      <c r="M40" s="34">
        <v>50244750</v>
      </c>
      <c r="N40" s="3">
        <v>0.0271</v>
      </c>
      <c r="O40" s="43">
        <v>52159046</v>
      </c>
      <c r="P40" s="3">
        <v>0.024</v>
      </c>
      <c r="Q40" s="34">
        <v>56334044</v>
      </c>
      <c r="R40" s="3">
        <v>0.0356</v>
      </c>
      <c r="S40" s="34">
        <v>69056775</v>
      </c>
      <c r="T40" s="3">
        <f t="shared" ref="T40:T45" si="42">U40/$U$9</f>
        <v>0.03999867886844436</v>
      </c>
      <c r="U40" s="34">
        <f>51405643+24115000</f>
        <v>75520643</v>
      </c>
      <c r="V40" s="3">
        <f t="shared" si="12"/>
        <v>0.05131799330399923</v>
      </c>
      <c r="W40" s="34">
        <f>58867113 +24115000+12375000</f>
        <v>95357113</v>
      </c>
      <c r="X40" s="3">
        <f t="shared" ref="X40:X45" si="43">Y40/$Y$10</f>
        <v>0.03811773820139059</v>
      </c>
      <c r="Y40" s="34">
        <f>60227500+36490000</f>
        <v>96717500</v>
      </c>
      <c r="Z40" s="3">
        <f t="shared" si="14"/>
        <v>0.034904424162862296</v>
      </c>
      <c r="AA40" s="34">
        <f>61829556+24115000</f>
        <v>85944556</v>
      </c>
      <c r="AB40" s="30"/>
      <c r="AC40" s="34">
        <v>88328666</v>
      </c>
      <c r="AD40" s="35">
        <f t="shared" si="16"/>
        <v>0.03198088793723014</v>
      </c>
    </row>
    <row r="41" ht="12.75" customHeight="1" spans="1:30" x14ac:dyDescent="0.25" outlineLevel="1" collapsed="1">
      <c r="A41" s="32">
        <v>6421.4</v>
      </c>
      <c r="C41" s="32" t="s">
        <v>58</v>
      </c>
      <c r="D41" s="35">
        <f t="shared" si="10"/>
        <v>0.004168602520679099</v>
      </c>
      <c r="E41" s="33">
        <f t="shared" si="1"/>
        <v>93443216</v>
      </c>
      <c r="F41" s="3">
        <v>0</v>
      </c>
      <c r="G41" s="34">
        <v>0</v>
      </c>
      <c r="H41" s="3">
        <v>0.0021</v>
      </c>
      <c r="I41" s="34">
        <v>3345630</v>
      </c>
      <c r="J41" s="3">
        <v>0.0056</v>
      </c>
      <c r="K41" s="34">
        <v>9918031</v>
      </c>
      <c r="L41" s="3">
        <v>0.015</v>
      </c>
      <c r="M41" s="34">
        <v>27540313</v>
      </c>
      <c r="N41" s="3">
        <v>0.0032</v>
      </c>
      <c r="O41" s="43">
        <v>6208036</v>
      </c>
      <c r="P41" s="3">
        <v>0.0046</v>
      </c>
      <c r="Q41" s="34">
        <v>10765578</v>
      </c>
      <c r="R41" s="3">
        <v>0.0047</v>
      </c>
      <c r="S41" s="34">
        <v>9148421</v>
      </c>
      <c r="T41" s="3">
        <f t="shared" si="42"/>
        <v>0.0033912462963965797</v>
      </c>
      <c r="U41" s="34">
        <v>6402939</v>
      </c>
      <c r="V41" s="3">
        <f t="shared" si="12"/>
        <v>0.0021048274130657787</v>
      </c>
      <c r="W41" s="34">
        <v>3911109</v>
      </c>
      <c r="X41" s="3">
        <f t="shared" si="43"/>
        <v>0.003325739601744484</v>
      </c>
      <c r="Y41" s="34">
        <v>8438518</v>
      </c>
      <c r="Z41" s="3">
        <f t="shared" si="14"/>
        <v>0.003030781691852208</v>
      </c>
      <c r="AA41" s="34">
        <v>7462641</v>
      </c>
      <c r="AB41" s="30"/>
      <c r="AC41" s="34">
        <v>302000</v>
      </c>
      <c r="AD41" s="35">
        <f t="shared" si="16"/>
        <v>0.003941031703586769</v>
      </c>
    </row>
    <row r="42" ht="12.75" customHeight="1" spans="1:30" x14ac:dyDescent="0.25" outlineLevel="1" collapsed="1">
      <c r="A42" s="32">
        <v>6421.5</v>
      </c>
      <c r="C42" s="32" t="s">
        <v>59</v>
      </c>
      <c r="D42" s="35">
        <f t="shared" si="10"/>
        <v>0.0008302052761652581</v>
      </c>
      <c r="E42" s="33">
        <f t="shared" si="1"/>
        <v>18609846</v>
      </c>
      <c r="F42" s="3">
        <v>0.0035</v>
      </c>
      <c r="G42" s="34">
        <v>7832392</v>
      </c>
      <c r="H42" s="3">
        <v>0.0003</v>
      </c>
      <c r="I42" s="34">
        <v>515500</v>
      </c>
      <c r="J42" s="3">
        <v>0.0011</v>
      </c>
      <c r="K42" s="34">
        <v>1969378</v>
      </c>
      <c r="L42" s="3">
        <v>0.0001</v>
      </c>
      <c r="M42" s="34">
        <v>108270</v>
      </c>
      <c r="N42" s="3">
        <v>0</v>
      </c>
      <c r="O42" s="43">
        <v>0</v>
      </c>
      <c r="P42" s="3">
        <v>0.0015</v>
      </c>
      <c r="Q42" s="34">
        <v>3544381</v>
      </c>
      <c r="R42" s="3">
        <v>0</v>
      </c>
      <c r="S42" s="34">
        <v>60000</v>
      </c>
      <c r="T42" s="3">
        <f t="shared" si="42"/>
        <v>0.0012865079940389235</v>
      </c>
      <c r="U42" s="34">
        <v>2429028</v>
      </c>
      <c r="V42" s="3">
        <f t="shared" si="12"/>
        <v>0</v>
      </c>
      <c r="W42" s="34"/>
      <c r="X42" s="3">
        <f t="shared" si="43"/>
        <v>0</v>
      </c>
      <c r="Y42" s="34"/>
      <c r="Z42" s="3">
        <f t="shared" si="14"/>
        <v>0.0008735378331424275</v>
      </c>
      <c r="AA42" s="34">
        <v>2150897</v>
      </c>
      <c r="AB42" s="30"/>
      <c r="AC42" s="34"/>
      <c r="AD42" s="35">
        <f t="shared" si="16"/>
        <v>0.000784883014780521</v>
      </c>
    </row>
    <row r="43" ht="12.75" customHeight="1" spans="1:30" x14ac:dyDescent="0.25" outlineLevel="1" collapsed="1">
      <c r="A43" s="32">
        <v>6421.6</v>
      </c>
      <c r="C43" s="32" t="s">
        <v>60</v>
      </c>
      <c r="D43" s="35">
        <f t="shared" si="10"/>
        <v>0.01612691314339597</v>
      </c>
      <c r="E43" s="33">
        <f t="shared" si="1"/>
        <v>361500196</v>
      </c>
      <c r="F43" s="3">
        <v>0</v>
      </c>
      <c r="G43" s="34">
        <v>0</v>
      </c>
      <c r="H43" s="3">
        <v>0</v>
      </c>
      <c r="I43" s="34">
        <v>0</v>
      </c>
      <c r="J43" s="3">
        <v>0.0152</v>
      </c>
      <c r="K43" s="34">
        <v>26872992</v>
      </c>
      <c r="L43" s="3">
        <v>0.0197</v>
      </c>
      <c r="M43" s="34">
        <v>36088670</v>
      </c>
      <c r="N43" s="3">
        <v>0.0252</v>
      </c>
      <c r="O43" s="43">
        <v>48464932</v>
      </c>
      <c r="P43" s="3">
        <v>0.0056</v>
      </c>
      <c r="Q43" s="34">
        <v>13049000</v>
      </c>
      <c r="R43" s="3">
        <v>0.0028</v>
      </c>
      <c r="S43" s="34">
        <v>5435000</v>
      </c>
      <c r="T43" s="3">
        <f t="shared" si="42"/>
        <v>0.03251814059303103</v>
      </c>
      <c r="U43" s="86">
        <f>82451476-21054676</f>
        <v>61396800</v>
      </c>
      <c r="V43" s="3">
        <f t="shared" si="12"/>
        <v>0.02723323532650656</v>
      </c>
      <c r="W43" s="34">
        <f>21054676+29549070</f>
        <v>50603746</v>
      </c>
      <c r="X43" s="3">
        <f t="shared" si="43"/>
        <v>0.020737515292191797</v>
      </c>
      <c r="Y43" s="34">
        <v>52618039</v>
      </c>
      <c r="Z43" s="30">
        <f t="shared" si="14"/>
        <v>0.01631193354105474</v>
      </c>
      <c r="AA43" s="34">
        <v>40164590</v>
      </c>
      <c r="AB43" s="30"/>
      <c r="AC43" s="34">
        <f>9969427+16837000</f>
        <v>26806427</v>
      </c>
      <c r="AD43" s="35">
        <f t="shared" si="16"/>
        <v>0.015246518626765059</v>
      </c>
    </row>
    <row r="44" ht="12.75" customHeight="1" spans="1:30" x14ac:dyDescent="0.25" outlineLevel="1" collapsed="1">
      <c r="A44" s="32">
        <v>6421.7</v>
      </c>
      <c r="B44" s="32"/>
      <c r="C44" s="32" t="s">
        <v>61</v>
      </c>
      <c r="D44" s="35">
        <f t="shared" si="10"/>
        <v>0.007625387392696126</v>
      </c>
      <c r="E44" s="33">
        <f t="shared" si="1"/>
        <v>170930358</v>
      </c>
      <c r="F44" s="3">
        <v>0.0025</v>
      </c>
      <c r="G44" s="34">
        <v>5500000</v>
      </c>
      <c r="H44" s="3">
        <v>0.0276</v>
      </c>
      <c r="I44" s="34">
        <v>44689850</v>
      </c>
      <c r="J44" s="3">
        <v>0.0271</v>
      </c>
      <c r="K44" s="34">
        <v>47907000</v>
      </c>
      <c r="L44" s="3">
        <v>0</v>
      </c>
      <c r="M44" s="34">
        <v>0</v>
      </c>
      <c r="N44" s="3">
        <v>0.0118</v>
      </c>
      <c r="O44" s="43">
        <v>22679550</v>
      </c>
      <c r="P44" s="3">
        <v>0.0001</v>
      </c>
      <c r="Q44" s="34">
        <v>129000</v>
      </c>
      <c r="R44" s="3">
        <v>0.004</v>
      </c>
      <c r="S44" s="34">
        <v>7761045</v>
      </c>
      <c r="T44" s="3">
        <f t="shared" si="42"/>
        <v>0.004067595846461749</v>
      </c>
      <c r="U44" s="34">
        <v>7679940</v>
      </c>
      <c r="V44" s="3">
        <f t="shared" si="12"/>
        <v>0.013251246275636314</v>
      </c>
      <c r="W44" s="34">
        <v>24622954</v>
      </c>
      <c r="X44" s="3">
        <f t="shared" si="43"/>
        <v>0.0037720975574129715</v>
      </c>
      <c r="Y44" s="34">
        <v>9571078</v>
      </c>
      <c r="Z44" s="3">
        <f t="shared" si="14"/>
        <v>0.00015836565683684126</v>
      </c>
      <c r="AA44" s="34">
        <v>389941</v>
      </c>
      <c r="AB44" s="30"/>
      <c r="AC44" s="34"/>
      <c r="AD44" s="35">
        <f t="shared" si="16"/>
        <v>0.007209105046036047</v>
      </c>
    </row>
    <row r="45" ht="12.75" customHeight="1" spans="1:30" x14ac:dyDescent="0.25" outlineLevel="1" collapsed="1">
      <c r="A45" s="32">
        <v>154</v>
      </c>
      <c r="B45" s="32"/>
      <c r="C45" s="32" t="s">
        <v>62</v>
      </c>
      <c r="D45" s="35">
        <f t="shared" si="10"/>
        <v>0.008467177407216038</v>
      </c>
      <c r="E45" s="33">
        <f t="shared" si="1"/>
        <v>189799887</v>
      </c>
      <c r="F45" s="3">
        <v>0.008</v>
      </c>
      <c r="G45" s="34">
        <v>17800000</v>
      </c>
      <c r="H45" s="3">
        <v>0</v>
      </c>
      <c r="I45" s="34">
        <v>0</v>
      </c>
      <c r="J45" s="3">
        <v>0.0031</v>
      </c>
      <c r="K45" s="34">
        <v>5500000</v>
      </c>
      <c r="L45" s="3">
        <v>0.0033</v>
      </c>
      <c r="M45" s="34">
        <v>6047619</v>
      </c>
      <c r="N45" s="3">
        <v>0.0027</v>
      </c>
      <c r="O45" s="43">
        <v>5141367</v>
      </c>
      <c r="P45" s="3">
        <v>0.0009</v>
      </c>
      <c r="Q45" s="34">
        <v>2224640</v>
      </c>
      <c r="R45" s="3">
        <v>0.0109</v>
      </c>
      <c r="S45" s="34">
        <v>21066981</v>
      </c>
      <c r="T45" s="3">
        <f t="shared" si="42"/>
        <v>0.013434836990763045</v>
      </c>
      <c r="U45" s="34">
        <v>25366026</v>
      </c>
      <c r="V45" s="3">
        <f t="shared" si="12"/>
        <v>0.01371327719047007</v>
      </c>
      <c r="W45" s="34">
        <v>25481482</v>
      </c>
      <c r="X45" s="3">
        <f t="shared" si="43"/>
        <v>0.010038651747150684</v>
      </c>
      <c r="Y45" s="34">
        <v>25471430</v>
      </c>
      <c r="Z45" s="3">
        <f t="shared" si="14"/>
        <v>0.008389305950143354</v>
      </c>
      <c r="AA45" s="34">
        <v>20656842</v>
      </c>
      <c r="AB45" s="30"/>
      <c r="AC45" s="34">
        <f>23977000+8816500+2250000</f>
        <v>35043500</v>
      </c>
      <c r="AD45" s="35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1">
        <f t="shared" si="10"/>
        <v>0.0170529229829646</v>
      </c>
      <c r="E46" s="29">
        <f t="shared" si="1"/>
        <v>382257593</v>
      </c>
      <c r="F46" s="30">
        <v>0.0194</v>
      </c>
      <c r="G46" s="30">
        <f t="shared" ref="G46:U46" si="44">SUBTOTAL(9,G47:G50)</f>
        <v>43375871</v>
      </c>
      <c r="H46" s="30">
        <f t="shared" si="44"/>
        <v>0.0374</v>
      </c>
      <c r="I46" s="30">
        <f t="shared" si="44"/>
        <v>60474882</v>
      </c>
      <c r="J46" s="30">
        <f t="shared" si="44"/>
        <v>0.0259</v>
      </c>
      <c r="K46" s="30">
        <f t="shared" si="44"/>
        <v>45711639</v>
      </c>
      <c r="L46" s="30">
        <f t="shared" si="44"/>
        <v>0.0174</v>
      </c>
      <c r="M46" s="30">
        <f t="shared" si="44"/>
        <v>31961833</v>
      </c>
      <c r="N46" s="30">
        <f t="shared" si="44"/>
        <v>0.0167</v>
      </c>
      <c r="O46" s="30">
        <f t="shared" si="44"/>
        <v>32137112</v>
      </c>
      <c r="P46" s="30">
        <f t="shared" si="44"/>
        <v>0.009899999999999999</v>
      </c>
      <c r="Q46" s="30">
        <f t="shared" si="44"/>
        <v>23443571</v>
      </c>
      <c r="R46" s="30">
        <f t="shared" si="44"/>
        <v>0.012499999999999999</v>
      </c>
      <c r="S46" s="30">
        <f t="shared" si="44"/>
        <v>24216225</v>
      </c>
      <c r="T46" s="30">
        <f t="shared" si="44"/>
        <v>0.007436416697381537</v>
      </c>
      <c r="U46" s="30">
        <f t="shared" si="44"/>
        <v>14040538</v>
      </c>
      <c r="V46" s="30">
        <f t="shared" si="12"/>
        <v>0.011620030579959719</v>
      </c>
      <c r="W46" s="30">
        <f t="shared" ref="W46:Y46" si="45">SUBTOTAL(9,W47:W50)</f>
        <v>21591892</v>
      </c>
      <c r="X46" s="30">
        <f t="shared" si="45"/>
        <v>0.01128318392820787</v>
      </c>
      <c r="Y46" s="30">
        <f t="shared" si="45"/>
        <v>28629226</v>
      </c>
      <c r="Z46" s="30">
        <f t="shared" si="14"/>
        <v>0.01265879761375497</v>
      </c>
      <c r="AA46" s="30">
        <f t="shared" ref="AA46:AC46" si="46">SUBTOTAL(9,AA47:AA50)</f>
        <v>31169537</v>
      </c>
      <c r="AB46" s="30">
        <f t="shared" si="46"/>
        <v>0</v>
      </c>
      <c r="AC46" s="30">
        <f t="shared" si="46"/>
        <v>25505267</v>
      </c>
      <c r="AD46" s="31">
        <f t="shared" si="16"/>
        <v>0.016121976077426183</v>
      </c>
    </row>
    <row r="47" ht="12.75" customHeight="1" spans="1:30" x14ac:dyDescent="0.25" outlineLevel="1" collapsed="1">
      <c r="A47" s="32" t="s">
        <v>64</v>
      </c>
      <c r="B47" s="32">
        <v>334.7</v>
      </c>
      <c r="C47" s="32" t="s">
        <v>65</v>
      </c>
      <c r="D47" s="35">
        <f t="shared" si="10"/>
        <v>0.014131933520113295</v>
      </c>
      <c r="E47" s="33">
        <f t="shared" si="1"/>
        <v>316780818</v>
      </c>
      <c r="F47" s="3">
        <v>0.0193</v>
      </c>
      <c r="G47" s="34">
        <v>43093171</v>
      </c>
      <c r="H47" s="3">
        <v>0.0285</v>
      </c>
      <c r="I47" s="34">
        <v>46081193</v>
      </c>
      <c r="J47" s="3">
        <v>0.0208</v>
      </c>
      <c r="K47" s="34">
        <v>36636121</v>
      </c>
      <c r="L47" s="3">
        <v>0.0118</v>
      </c>
      <c r="M47" s="34">
        <v>21631381</v>
      </c>
      <c r="N47" s="3">
        <v>0.0116</v>
      </c>
      <c r="O47" s="43">
        <v>22329000</v>
      </c>
      <c r="P47" s="3">
        <v>0.0078</v>
      </c>
      <c r="Q47" s="34">
        <v>18435153</v>
      </c>
      <c r="R47" s="3">
        <v>0.0107</v>
      </c>
      <c r="S47" s="34">
        <v>20693925</v>
      </c>
      <c r="T47" s="3">
        <f t="shared" ref="T47:T50" si="47">U47/$U$9</f>
        <v>0.007045989061360155</v>
      </c>
      <c r="U47" s="34">
        <v>13303380</v>
      </c>
      <c r="V47" s="3">
        <f t="shared" si="12"/>
        <v>0.01071993222332479</v>
      </c>
      <c r="W47" s="34">
        <v>19919364</v>
      </c>
      <c r="X47" s="3">
        <f t="shared" ref="X47:X50" si="48">Y47/$Y$10</f>
        <v>0.00902215087771155</v>
      </c>
      <c r="Y47" s="34">
        <v>22892226</v>
      </c>
      <c r="Z47" s="3">
        <f t="shared" si="14"/>
        <v>0.010732170663861803</v>
      </c>
      <c r="AA47" s="34">
        <v>26425637</v>
      </c>
      <c r="AB47" s="30"/>
      <c r="AC47" s="34">
        <v>25340267</v>
      </c>
      <c r="AD47" s="35">
        <f t="shared" si="16"/>
        <v>0.013360448198038798</v>
      </c>
    </row>
    <row r="48" ht="17.25" customHeight="1" spans="1:30" x14ac:dyDescent="0.25" outlineLevel="1" collapsed="1">
      <c r="A48" s="32">
        <v>6421.8</v>
      </c>
      <c r="B48" s="27"/>
      <c r="C48" s="32" t="s">
        <v>66</v>
      </c>
      <c r="D48" s="35">
        <f t="shared" si="10"/>
        <v>0</v>
      </c>
      <c r="E48" s="33">
        <f t="shared" si="1"/>
        <v>0</v>
      </c>
      <c r="F48" s="3">
        <v>0</v>
      </c>
      <c r="G48" s="34">
        <v>0</v>
      </c>
      <c r="H48" s="3">
        <v>0</v>
      </c>
      <c r="I48" s="34">
        <v>0</v>
      </c>
      <c r="J48" s="3">
        <v>0</v>
      </c>
      <c r="K48" s="34">
        <v>0</v>
      </c>
      <c r="L48" s="3">
        <v>0</v>
      </c>
      <c r="M48" s="34">
        <v>0</v>
      </c>
      <c r="N48" s="3">
        <v>0</v>
      </c>
      <c r="O48" s="43">
        <v>0</v>
      </c>
      <c r="P48" s="3">
        <v>0</v>
      </c>
      <c r="Q48" s="34">
        <v>0</v>
      </c>
      <c r="R48" s="3">
        <v>0</v>
      </c>
      <c r="S48" s="34">
        <v>0</v>
      </c>
      <c r="T48" s="3">
        <f t="shared" si="47"/>
        <v>0</v>
      </c>
      <c r="U48" s="34"/>
      <c r="V48" s="3">
        <f t="shared" si="12"/>
        <v>0</v>
      </c>
      <c r="W48" s="34"/>
      <c r="X48" s="3">
        <f t="shared" si="48"/>
        <v>0</v>
      </c>
      <c r="Y48" s="34"/>
      <c r="Z48" s="3">
        <f t="shared" si="14"/>
        <v>0</v>
      </c>
      <c r="AA48" s="34"/>
      <c r="AB48" s="30"/>
      <c r="AC48" s="34"/>
      <c r="AD48" s="35">
        <f t="shared" si="16"/>
        <v>0</v>
      </c>
    </row>
    <row r="49" ht="17.25" customHeight="1" spans="1:30" x14ac:dyDescent="0.25" outlineLevel="1" collapsed="1">
      <c r="A49" s="32">
        <v>6421.9</v>
      </c>
      <c r="B49" s="27"/>
      <c r="C49" s="32" t="s">
        <v>67</v>
      </c>
      <c r="D49" s="35">
        <f t="shared" si="10"/>
        <v>0.000007833705152348887</v>
      </c>
      <c r="E49" s="33">
        <f t="shared" si="1"/>
        <v>175600</v>
      </c>
      <c r="F49" s="3">
        <v>0</v>
      </c>
      <c r="G49" s="34">
        <v>0</v>
      </c>
      <c r="H49" s="3">
        <v>0.0001</v>
      </c>
      <c r="I49" s="34">
        <v>175600</v>
      </c>
      <c r="J49" s="3">
        <v>0</v>
      </c>
      <c r="K49" s="34">
        <v>0</v>
      </c>
      <c r="L49" s="3">
        <v>0</v>
      </c>
      <c r="M49" s="34">
        <v>0</v>
      </c>
      <c r="N49" s="3">
        <v>0</v>
      </c>
      <c r="O49" s="43">
        <v>0</v>
      </c>
      <c r="P49" s="3">
        <v>0</v>
      </c>
      <c r="Q49" s="34">
        <v>0</v>
      </c>
      <c r="R49" s="3">
        <v>0</v>
      </c>
      <c r="S49" s="34">
        <v>0</v>
      </c>
      <c r="T49" s="3">
        <f t="shared" si="47"/>
        <v>0</v>
      </c>
      <c r="U49" s="34"/>
      <c r="V49" s="3">
        <f t="shared" si="12"/>
        <v>0</v>
      </c>
      <c r="W49" s="34"/>
      <c r="X49" s="3">
        <f t="shared" si="48"/>
        <v>0</v>
      </c>
      <c r="Y49" s="34"/>
      <c r="Z49" s="3">
        <f t="shared" si="14"/>
        <v>0</v>
      </c>
      <c r="AA49" s="34"/>
      <c r="AB49" s="30"/>
      <c r="AC49" s="34"/>
      <c r="AD49" s="35">
        <f t="shared" si="16"/>
        <v>0.000007406050399098385</v>
      </c>
    </row>
    <row r="50" ht="17.25" customHeight="1" spans="1:30" x14ac:dyDescent="0.25" outlineLevel="1" collapsed="1">
      <c r="A50" s="49">
        <v>1651537</v>
      </c>
      <c r="B50" s="27"/>
      <c r="C50" s="32" t="s">
        <v>68</v>
      </c>
      <c r="D50" s="35">
        <f t="shared" si="10"/>
        <v>0.0029131557576989537</v>
      </c>
      <c r="E50" s="33">
        <f t="shared" si="1"/>
        <v>65301175</v>
      </c>
      <c r="F50" s="3">
        <v>0.0001</v>
      </c>
      <c r="G50" s="34">
        <v>282700</v>
      </c>
      <c r="H50" s="3">
        <v>0.0088</v>
      </c>
      <c r="I50" s="34">
        <v>14218089</v>
      </c>
      <c r="J50" s="3">
        <v>0.0051</v>
      </c>
      <c r="K50" s="34">
        <v>9075518</v>
      </c>
      <c r="L50" s="3">
        <v>0.0056</v>
      </c>
      <c r="M50" s="34">
        <v>10330452</v>
      </c>
      <c r="N50" s="3">
        <v>0.0051</v>
      </c>
      <c r="O50" s="43">
        <v>9808112</v>
      </c>
      <c r="P50" s="3">
        <v>0.0021</v>
      </c>
      <c r="Q50" s="34">
        <v>5008418</v>
      </c>
      <c r="R50" s="3">
        <v>0.0018</v>
      </c>
      <c r="S50" s="34">
        <v>3522300</v>
      </c>
      <c r="T50" s="3">
        <f t="shared" si="47"/>
        <v>0.0003904276360213817</v>
      </c>
      <c r="U50" s="34">
        <v>737158</v>
      </c>
      <c r="V50" s="3">
        <f t="shared" si="12"/>
        <v>0.000900098356634929</v>
      </c>
      <c r="W50" s="34">
        <v>1672528</v>
      </c>
      <c r="X50" s="3">
        <f t="shared" si="48"/>
        <v>0.0022610330504963198</v>
      </c>
      <c r="Y50" s="34">
        <v>5737000</v>
      </c>
      <c r="Z50" s="3">
        <f t="shared" si="14"/>
        <v>0.0019266269498931664</v>
      </c>
      <c r="AA50" s="34">
        <v>4743900</v>
      </c>
      <c r="AB50" s="30"/>
      <c r="AC50" s="34">
        <v>165000</v>
      </c>
      <c r="AD50" s="35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1">
        <f t="shared" si="10"/>
        <v>0.007598161743016616</v>
      </c>
      <c r="E51" s="29">
        <f t="shared" si="1"/>
        <v>170320069</v>
      </c>
      <c r="F51" s="30">
        <v>0.0005</v>
      </c>
      <c r="G51" s="30">
        <f t="shared" ref="G51:U51" si="49">SUBTOTAL(9,G52:G54)</f>
        <v>1008108</v>
      </c>
      <c r="H51" s="30">
        <f t="shared" si="49"/>
        <v>0.0003</v>
      </c>
      <c r="I51" s="30">
        <f t="shared" si="49"/>
        <v>495794</v>
      </c>
      <c r="J51" s="30">
        <f t="shared" si="49"/>
        <v>0.0476</v>
      </c>
      <c r="K51" s="30">
        <f t="shared" si="49"/>
        <v>84032547</v>
      </c>
      <c r="L51" s="30">
        <f t="shared" si="49"/>
        <v>0.0045</v>
      </c>
      <c r="M51" s="30">
        <f t="shared" si="49"/>
        <v>8159043</v>
      </c>
      <c r="N51" s="30">
        <f t="shared" si="49"/>
        <v>0.0104</v>
      </c>
      <c r="O51" s="30">
        <f t="shared" si="49"/>
        <v>19890590</v>
      </c>
      <c r="P51" s="30">
        <f t="shared" si="49"/>
        <v>0.015600000000000001</v>
      </c>
      <c r="Q51" s="30">
        <f t="shared" si="49"/>
        <v>36470042</v>
      </c>
      <c r="R51" s="30">
        <f t="shared" si="49"/>
        <v>0.0011</v>
      </c>
      <c r="S51" s="30">
        <f t="shared" si="49"/>
        <v>2090435</v>
      </c>
      <c r="T51" s="30">
        <f t="shared" si="49"/>
        <v>0.004180491580054512</v>
      </c>
      <c r="U51" s="30">
        <f t="shared" si="49"/>
        <v>7893096</v>
      </c>
      <c r="V51" s="30">
        <f t="shared" si="12"/>
        <v>0.0017064271395696188</v>
      </c>
      <c r="W51" s="30">
        <f t="shared" ref="W51:Y51" si="50">SUBTOTAL(9,W52:W54)</f>
        <v>3170817</v>
      </c>
      <c r="X51" s="30">
        <f t="shared" si="50"/>
        <v>0.0021915842202726472</v>
      </c>
      <c r="Y51" s="30">
        <f t="shared" si="50"/>
        <v>5560785</v>
      </c>
      <c r="Z51" s="30">
        <f t="shared" si="14"/>
        <v>0.0006290147219625066</v>
      </c>
      <c r="AA51" s="30">
        <f t="shared" ref="AA51:AC51" si="51">SUBTOTAL(9,AA52:AA54)</f>
        <v>1548812</v>
      </c>
      <c r="AB51" s="30">
        <f t="shared" si="51"/>
        <v>0</v>
      </c>
      <c r="AC51" s="30">
        <f t="shared" si="51"/>
        <v>0</v>
      </c>
      <c r="AD51" s="31">
        <f t="shared" si="16"/>
        <v>0.0071833656890200135</v>
      </c>
    </row>
    <row r="52" ht="17.25" customHeight="1" spans="1:30" x14ac:dyDescent="0.25" outlineLevel="1" collapsed="1">
      <c r="A52" s="49">
        <v>1651902</v>
      </c>
      <c r="B52" s="49">
        <v>1651902</v>
      </c>
      <c r="C52" s="32" t="s">
        <v>70</v>
      </c>
      <c r="D52" s="35">
        <f t="shared" si="10"/>
        <v>0.003486997634813256</v>
      </c>
      <c r="E52" s="33">
        <f t="shared" si="1"/>
        <v>78164390</v>
      </c>
      <c r="F52" s="3">
        <v>0</v>
      </c>
      <c r="G52" s="34">
        <v>0</v>
      </c>
      <c r="H52" s="3">
        <v>0</v>
      </c>
      <c r="I52" s="34">
        <v>0</v>
      </c>
      <c r="J52" s="3">
        <v>0.042</v>
      </c>
      <c r="K52" s="34">
        <v>74080000</v>
      </c>
      <c r="L52" s="3">
        <v>0</v>
      </c>
      <c r="M52" s="34">
        <v>0</v>
      </c>
      <c r="N52" s="3">
        <v>0</v>
      </c>
      <c r="O52" s="43">
        <v>0</v>
      </c>
      <c r="P52" s="3">
        <v>0</v>
      </c>
      <c r="Q52" s="34">
        <v>0</v>
      </c>
      <c r="R52" s="3">
        <v>0</v>
      </c>
      <c r="S52" s="34">
        <v>0</v>
      </c>
      <c r="T52" s="3">
        <f t="shared" ref="T52:T54" si="52">U52/$U$9</f>
        <v>0</v>
      </c>
      <c r="U52" s="34">
        <v>0</v>
      </c>
      <c r="V52" s="3">
        <f t="shared" si="12"/>
        <v>0</v>
      </c>
      <c r="W52" s="34"/>
      <c r="X52" s="3">
        <f t="shared" ref="X52:X54" si="53">Y52/$Y$10</f>
        <v>0.0016097160155336698</v>
      </c>
      <c r="Y52" s="34">
        <v>4084390</v>
      </c>
      <c r="Z52" s="3">
        <f t="shared" si="14"/>
        <v>0</v>
      </c>
      <c r="AA52" s="34"/>
      <c r="AB52" s="30"/>
      <c r="AC52" s="34"/>
      <c r="AD52" s="35">
        <f t="shared" si="16"/>
        <v>0.003296636741200352</v>
      </c>
    </row>
    <row r="53" ht="17.25" customHeight="1" spans="1:30" x14ac:dyDescent="0.25" outlineLevel="1" collapsed="1">
      <c r="A53" s="49">
        <v>1651933</v>
      </c>
      <c r="B53" s="49">
        <v>1651933</v>
      </c>
      <c r="C53" s="32" t="s">
        <v>71</v>
      </c>
      <c r="D53" s="35">
        <f t="shared" si="10"/>
        <v>0.0011461334746856132</v>
      </c>
      <c r="E53" s="33">
        <f t="shared" si="1"/>
        <v>25691679</v>
      </c>
      <c r="F53" s="3">
        <v>0.0005</v>
      </c>
      <c r="G53" s="34">
        <v>1008108</v>
      </c>
      <c r="H53" s="3">
        <v>0.0003</v>
      </c>
      <c r="I53" s="34">
        <v>495794</v>
      </c>
      <c r="J53" s="3">
        <v>0.0006</v>
      </c>
      <c r="K53" s="34">
        <v>1042547</v>
      </c>
      <c r="L53" s="3">
        <v>0.0003</v>
      </c>
      <c r="M53" s="34">
        <v>525043</v>
      </c>
      <c r="N53" s="3">
        <v>0.0042</v>
      </c>
      <c r="O53" s="43">
        <v>8010590</v>
      </c>
      <c r="P53" s="3">
        <v>0.0005</v>
      </c>
      <c r="Q53" s="34">
        <v>1080042</v>
      </c>
      <c r="R53" s="3">
        <v>0.0003</v>
      </c>
      <c r="S53" s="34">
        <v>540435</v>
      </c>
      <c r="T53" s="3">
        <f t="shared" si="52"/>
        <v>0.004180491580054512</v>
      </c>
      <c r="U53" s="34">
        <v>7893096</v>
      </c>
      <c r="V53" s="3">
        <f t="shared" si="12"/>
        <v>0.0017064271395696188</v>
      </c>
      <c r="W53" s="34">
        <v>3170817</v>
      </c>
      <c r="X53" s="3">
        <f t="shared" si="53"/>
        <v>0.00014834260677036123</v>
      </c>
      <c r="Y53" s="34">
        <v>376395</v>
      </c>
      <c r="Z53" s="3">
        <f t="shared" si="14"/>
        <v>0.0006290147219625066</v>
      </c>
      <c r="AA53" s="34">
        <v>1548812</v>
      </c>
      <c r="AB53" s="30"/>
      <c r="AC53" s="34"/>
      <c r="AD53" s="35">
        <f t="shared" si="16"/>
        <v>0.0010835641771723098</v>
      </c>
    </row>
    <row r="54" ht="17.25" customHeight="1" spans="1:30" x14ac:dyDescent="0.25" outlineLevel="1" collapsed="1">
      <c r="A54" s="49">
        <v>1651568</v>
      </c>
      <c r="B54" s="27"/>
      <c r="C54" s="32" t="s">
        <v>72</v>
      </c>
      <c r="D54" s="35">
        <f t="shared" si="10"/>
        <v>0.002965030633517747</v>
      </c>
      <c r="E54" s="33">
        <f t="shared" si="1"/>
        <v>66464000</v>
      </c>
      <c r="F54" s="3">
        <v>0</v>
      </c>
      <c r="G54" s="34">
        <v>0</v>
      </c>
      <c r="H54" s="3">
        <v>0</v>
      </c>
      <c r="I54" s="34">
        <v>0</v>
      </c>
      <c r="J54" s="3">
        <v>0.005</v>
      </c>
      <c r="K54" s="34">
        <v>8910000</v>
      </c>
      <c r="L54" s="3">
        <v>0.0042</v>
      </c>
      <c r="M54" s="34">
        <v>7634000</v>
      </c>
      <c r="N54" s="3">
        <v>0.0062</v>
      </c>
      <c r="O54" s="43">
        <v>11880000</v>
      </c>
      <c r="P54" s="3">
        <v>0.0151</v>
      </c>
      <c r="Q54" s="34">
        <v>35390000</v>
      </c>
      <c r="R54" s="3">
        <v>0.0008</v>
      </c>
      <c r="S54" s="34">
        <v>1550000</v>
      </c>
      <c r="T54" s="3">
        <f t="shared" si="52"/>
        <v>0</v>
      </c>
      <c r="U54" s="34">
        <v>0</v>
      </c>
      <c r="V54" s="3">
        <f t="shared" si="12"/>
        <v>0</v>
      </c>
      <c r="W54" s="34"/>
      <c r="X54" s="3">
        <f t="shared" si="53"/>
        <v>0.00043352559796861633</v>
      </c>
      <c r="Y54" s="34">
        <v>1100000</v>
      </c>
      <c r="Z54" s="3">
        <f t="shared" si="14"/>
        <v>0</v>
      </c>
      <c r="AA54" s="34"/>
      <c r="AB54" s="30"/>
      <c r="AC54" s="34"/>
      <c r="AD54" s="35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1">
        <f t="shared" si="10"/>
        <v>0.057909407350973816</v>
      </c>
      <c r="E55" s="29">
        <f t="shared" si="1"/>
        <v>1298094801</v>
      </c>
      <c r="F55" s="30">
        <v>0.0878</v>
      </c>
      <c r="G55" s="30">
        <f t="shared" ref="G55:U55" si="54">SUBTOTAL(9,G56:G58)</f>
        <v>196175290</v>
      </c>
      <c r="H55" s="30">
        <f t="shared" si="54"/>
        <v>0.0272</v>
      </c>
      <c r="I55" s="30">
        <f t="shared" si="54"/>
        <v>44064000</v>
      </c>
      <c r="J55" s="30">
        <f t="shared" si="54"/>
        <v>0.027</v>
      </c>
      <c r="K55" s="30">
        <f t="shared" si="54"/>
        <v>47636657</v>
      </c>
      <c r="L55" s="30">
        <f t="shared" si="54"/>
        <v>0.061</v>
      </c>
      <c r="M55" s="30">
        <f t="shared" si="54"/>
        <v>111561818</v>
      </c>
      <c r="N55" s="30">
        <f t="shared" si="54"/>
        <v>0.0964</v>
      </c>
      <c r="O55" s="30">
        <f t="shared" si="54"/>
        <v>185348185</v>
      </c>
      <c r="P55" s="30">
        <f t="shared" si="54"/>
        <v>0.0222</v>
      </c>
      <c r="Q55" s="30">
        <f t="shared" si="54"/>
        <v>52224000</v>
      </c>
      <c r="R55" s="30">
        <f t="shared" si="54"/>
        <v>0.0303</v>
      </c>
      <c r="S55" s="30">
        <f t="shared" si="54"/>
        <v>58752000</v>
      </c>
      <c r="T55" s="30">
        <f t="shared" si="54"/>
        <v>0.09533207236700418</v>
      </c>
      <c r="U55" s="30">
        <f t="shared" si="54"/>
        <v>179994430</v>
      </c>
      <c r="V55" s="30">
        <f t="shared" si="12"/>
        <v>0.03533815786048184</v>
      </c>
      <c r="W55" s="30">
        <f t="shared" ref="W55:Y55" si="55">SUBTOTAL(9,W56:W58)</f>
        <v>65664000</v>
      </c>
      <c r="X55" s="30">
        <f t="shared" si="55"/>
        <v>0.08806951490267773</v>
      </c>
      <c r="Y55" s="30">
        <f t="shared" si="55"/>
        <v>223461929</v>
      </c>
      <c r="Z55" s="30">
        <f t="shared" si="14"/>
        <v>0.02673149386421037</v>
      </c>
      <c r="AA55" s="30">
        <f t="shared" ref="AA55:AC55" si="56">SUBTOTAL(9,AA56:AA58)</f>
        <v>65820492</v>
      </c>
      <c r="AB55" s="30">
        <f t="shared" si="56"/>
        <v>0</v>
      </c>
      <c r="AC55" s="30">
        <f t="shared" si="56"/>
        <v>67392000</v>
      </c>
      <c r="AD55" s="31">
        <f t="shared" si="16"/>
        <v>0.054748038263175335</v>
      </c>
    </row>
    <row r="56" ht="17.25" customHeight="1" spans="1:30" x14ac:dyDescent="0.25" outlineLevel="1" collapsed="1">
      <c r="A56" s="32" t="s">
        <v>74</v>
      </c>
      <c r="C56" s="32" t="s">
        <v>75</v>
      </c>
      <c r="D56" s="35">
        <f t="shared" si="10"/>
        <v>0.02510039139071298</v>
      </c>
      <c r="E56" s="33">
        <f t="shared" si="1"/>
        <v>562649301</v>
      </c>
      <c r="F56" s="3">
        <v>0.0681</v>
      </c>
      <c r="G56" s="34">
        <v>152111290</v>
      </c>
      <c r="H56" s="3">
        <v>0</v>
      </c>
      <c r="I56" s="34">
        <v>0</v>
      </c>
      <c r="J56" s="3">
        <v>0.0011</v>
      </c>
      <c r="K56" s="34">
        <v>1940657</v>
      </c>
      <c r="L56" s="3">
        <v>0.0047</v>
      </c>
      <c r="M56" s="34">
        <v>8601818</v>
      </c>
      <c r="N56" s="3">
        <v>0.0691</v>
      </c>
      <c r="O56" s="43">
        <v>132894685</v>
      </c>
      <c r="P56" s="3">
        <v>0</v>
      </c>
      <c r="Q56" s="34">
        <v>0</v>
      </c>
      <c r="R56" s="3">
        <v>0</v>
      </c>
      <c r="S56" s="34">
        <v>0</v>
      </c>
      <c r="T56" s="3">
        <f t="shared" ref="T56:T58" si="57">U56/$U$9</f>
        <v>0.060553856174942224</v>
      </c>
      <c r="U56" s="34">
        <v>114330430</v>
      </c>
      <c r="V56" s="3">
        <f t="shared" si="12"/>
        <v>0</v>
      </c>
      <c r="W56" s="34"/>
      <c r="X56" s="3">
        <f t="shared" ref="X56:X58" si="58">Y56/$Y$10</f>
        <v>0.060147313480059056</v>
      </c>
      <c r="Y56" s="34">
        <v>152613929</v>
      </c>
      <c r="Z56" s="3">
        <f t="shared" si="14"/>
        <v>0.00006355566193273075</v>
      </c>
      <c r="AA56" s="34">
        <v>156492</v>
      </c>
      <c r="AB56" s="30"/>
      <c r="AC56" s="34"/>
      <c r="AD56" s="35">
        <f t="shared" si="16"/>
        <v>0.023730120046830734</v>
      </c>
    </row>
    <row r="57" ht="17.25" customHeight="1" spans="1:30" x14ac:dyDescent="0.25" outlineLevel="1" collapsed="1">
      <c r="A57" s="32">
        <v>3383</v>
      </c>
      <c r="C57" s="32" t="s">
        <v>76</v>
      </c>
      <c r="D57" s="35">
        <f t="shared" si="10"/>
        <v>0.030400017792682022</v>
      </c>
      <c r="E57" s="33">
        <f t="shared" si="1"/>
        <v>681445500</v>
      </c>
      <c r="F57" s="3">
        <v>0.0197</v>
      </c>
      <c r="G57" s="34">
        <v>44064000</v>
      </c>
      <c r="H57" s="3">
        <v>0.0272</v>
      </c>
      <c r="I57" s="34">
        <v>44064000</v>
      </c>
      <c r="J57" s="3">
        <v>0.0259</v>
      </c>
      <c r="K57" s="34">
        <v>45696000</v>
      </c>
      <c r="L57" s="3">
        <v>0.0268</v>
      </c>
      <c r="M57" s="34">
        <v>48960000</v>
      </c>
      <c r="N57" s="3">
        <v>0.0273</v>
      </c>
      <c r="O57" s="43">
        <v>52453500</v>
      </c>
      <c r="P57" s="3">
        <v>0.0222</v>
      </c>
      <c r="Q57" s="34">
        <v>52224000</v>
      </c>
      <c r="R57" s="3">
        <v>0.0303</v>
      </c>
      <c r="S57" s="34">
        <v>58752000</v>
      </c>
      <c r="T57" s="3">
        <f t="shared" si="57"/>
        <v>0.03477821619206196</v>
      </c>
      <c r="U57" s="34">
        <v>65664000</v>
      </c>
      <c r="V57" s="3">
        <f t="shared" si="12"/>
        <v>0.03533815786048184</v>
      </c>
      <c r="W57" s="34">
        <v>65664000</v>
      </c>
      <c r="X57" s="3">
        <f t="shared" si="58"/>
        <v>0.027922201422618663</v>
      </c>
      <c r="Y57" s="34">
        <v>70848000</v>
      </c>
      <c r="Z57" s="3">
        <f t="shared" si="14"/>
        <v>0.026667938202277638</v>
      </c>
      <c r="AA57" s="34">
        <v>65664000</v>
      </c>
      <c r="AB57" s="30"/>
      <c r="AC57" s="34">
        <v>67392000</v>
      </c>
      <c r="AD57" s="35">
        <f t="shared" si="16"/>
        <v>0.02874043119156491</v>
      </c>
    </row>
    <row r="58" ht="17.25" customHeight="1" spans="1:30" x14ac:dyDescent="0.25" outlineLevel="1" collapsed="1">
      <c r="A58" s="32">
        <v>6422.8</v>
      </c>
      <c r="B58" s="32"/>
      <c r="C58" s="32" t="s">
        <v>77</v>
      </c>
      <c r="D58" s="35">
        <f t="shared" si="10"/>
        <v>0.002408998167578815</v>
      </c>
      <c r="E58" s="33">
        <f t="shared" si="1"/>
        <v>54000000</v>
      </c>
      <c r="F58" s="3">
        <v>0</v>
      </c>
      <c r="G58" s="34">
        <v>0</v>
      </c>
      <c r="H58" s="3">
        <v>0</v>
      </c>
      <c r="I58" s="34">
        <v>0</v>
      </c>
      <c r="J58" s="3">
        <v>0</v>
      </c>
      <c r="K58" s="34">
        <v>0</v>
      </c>
      <c r="L58" s="3">
        <v>0.0295</v>
      </c>
      <c r="M58" s="34">
        <v>54000000</v>
      </c>
      <c r="N58" s="3">
        <v>0</v>
      </c>
      <c r="O58" s="43">
        <v>0</v>
      </c>
      <c r="P58" s="3">
        <v>0</v>
      </c>
      <c r="Q58" s="34">
        <v>0</v>
      </c>
      <c r="R58" s="3">
        <v>0</v>
      </c>
      <c r="S58" s="34">
        <v>0</v>
      </c>
      <c r="T58" s="3">
        <f t="shared" si="57"/>
        <v>0</v>
      </c>
      <c r="U58" s="34">
        <v>0</v>
      </c>
      <c r="V58" s="3">
        <f t="shared" si="12"/>
        <v>0</v>
      </c>
      <c r="W58" s="34"/>
      <c r="X58" s="3">
        <f t="shared" si="58"/>
        <v>0</v>
      </c>
      <c r="Y58" s="34"/>
      <c r="Z58" s="3">
        <f t="shared" si="14"/>
        <v>0</v>
      </c>
      <c r="AA58" s="34"/>
      <c r="AB58" s="30"/>
      <c r="AC58" s="34"/>
      <c r="AD58" s="35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2"/>
      <c r="D59" s="31">
        <f t="shared" si="10"/>
        <v>0.03052198657440562</v>
      </c>
      <c r="E59" s="29">
        <f t="shared" si="1"/>
        <v>684179547</v>
      </c>
      <c r="F59" s="30">
        <v>0.0101</v>
      </c>
      <c r="G59" s="30">
        <f t="shared" ref="G59:U59" si="59">SUBTOTAL(9,G60:G64)</f>
        <v>22565377</v>
      </c>
      <c r="H59" s="30">
        <f t="shared" si="59"/>
        <v>0.3253999999999999</v>
      </c>
      <c r="I59" s="30">
        <f t="shared" si="59"/>
        <v>526992689</v>
      </c>
      <c r="J59" s="30">
        <f t="shared" si="59"/>
        <v>0.0064</v>
      </c>
      <c r="K59" s="30">
        <f t="shared" si="59"/>
        <v>11380952</v>
      </c>
      <c r="L59" s="30">
        <f t="shared" si="59"/>
        <v>0.0065</v>
      </c>
      <c r="M59" s="30">
        <f t="shared" si="59"/>
        <v>11809524</v>
      </c>
      <c r="N59" s="30">
        <f t="shared" si="59"/>
        <v>0.0057</v>
      </c>
      <c r="O59" s="30">
        <f t="shared" si="59"/>
        <v>11000000</v>
      </c>
      <c r="P59" s="30">
        <f t="shared" si="59"/>
        <v>0.0091</v>
      </c>
      <c r="Q59" s="30">
        <f t="shared" si="59"/>
        <v>21472147</v>
      </c>
      <c r="R59" s="30">
        <f t="shared" si="59"/>
        <v>0.008</v>
      </c>
      <c r="S59" s="30">
        <f t="shared" si="59"/>
        <v>15530838</v>
      </c>
      <c r="T59" s="30">
        <f t="shared" si="59"/>
        <v>0.0070810432194783265</v>
      </c>
      <c r="U59" s="30">
        <f t="shared" si="59"/>
        <v>13369565</v>
      </c>
      <c r="V59" s="30">
        <f t="shared" si="12"/>
        <v>0.004305331123353051</v>
      </c>
      <c r="W59" s="30">
        <f t="shared" ref="W59:Y59" si="60">SUBTOTAL(9,W60:W64)</f>
        <v>8000000</v>
      </c>
      <c r="X59" s="30">
        <f t="shared" si="60"/>
        <v>0.004497124190998966</v>
      </c>
      <c r="Y59" s="30">
        <f t="shared" si="60"/>
        <v>11410714</v>
      </c>
      <c r="Z59" s="30">
        <f t="shared" si="14"/>
        <v>0.006056543651184616</v>
      </c>
      <c r="AA59" s="30">
        <f t="shared" ref="AA59:AC59" si="61">SUBTOTAL(9,AA60:AA64)</f>
        <v>14912922</v>
      </c>
      <c r="AB59" s="30">
        <f t="shared" si="61"/>
        <v>0</v>
      </c>
      <c r="AC59" s="30">
        <f t="shared" si="61"/>
        <v>15734819</v>
      </c>
      <c r="AD59" s="31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2">
        <v>334.4</v>
      </c>
      <c r="B60" s="52" t="s">
        <v>79</v>
      </c>
      <c r="C60" s="53" t="s">
        <v>79</v>
      </c>
      <c r="D60" s="35">
        <f t="shared" si="10"/>
        <v>0.024387275827371508</v>
      </c>
      <c r="E60" s="33">
        <f t="shared" si="1"/>
        <v>546664133</v>
      </c>
      <c r="F60" s="3">
        <v>0.0078</v>
      </c>
      <c r="G60" s="34">
        <v>17375577</v>
      </c>
      <c r="H60" s="3">
        <v>0.2578</v>
      </c>
      <c r="I60" s="34">
        <v>417405745</v>
      </c>
      <c r="J60" s="3">
        <v>0.0064</v>
      </c>
      <c r="K60" s="34">
        <v>11380952</v>
      </c>
      <c r="L60" s="3">
        <v>0.0065</v>
      </c>
      <c r="M60" s="34">
        <v>11809524</v>
      </c>
      <c r="N60" s="3">
        <v>0.0057</v>
      </c>
      <c r="O60" s="34">
        <v>11000000</v>
      </c>
      <c r="P60" s="3">
        <v>0.0091</v>
      </c>
      <c r="Q60" s="34">
        <v>21472147</v>
      </c>
      <c r="R60" s="3">
        <v>0.0057</v>
      </c>
      <c r="S60" s="34">
        <v>11030838</v>
      </c>
      <c r="T60" s="3">
        <f t="shared" ref="T60:T67" si="62">U60/$U$9</f>
        <v>0.003638389630778236</v>
      </c>
      <c r="U60" s="34">
        <v>6869565</v>
      </c>
      <c r="V60" s="3">
        <f t="shared" si="12"/>
        <v>0.004305331123353051</v>
      </c>
      <c r="W60" s="34">
        <v>8000000</v>
      </c>
      <c r="X60" s="3">
        <f t="shared" ref="X60:X67" si="63">Y60/$Y$10</f>
        <v>0.004497124190998966</v>
      </c>
      <c r="Y60" s="34">
        <v>11410714</v>
      </c>
      <c r="Z60" s="3">
        <f t="shared" si="14"/>
        <v>0.0022955017504343385</v>
      </c>
      <c r="AA60" s="34">
        <v>5652174</v>
      </c>
      <c r="AB60" s="30"/>
      <c r="AC60" s="34">
        <v>13256897</v>
      </c>
      <c r="AD60" s="35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2" t="s">
        <v>80</v>
      </c>
      <c r="B61" s="52" t="s">
        <v>81</v>
      </c>
      <c r="C61" s="53" t="s">
        <v>82</v>
      </c>
      <c r="D61" s="35">
        <f t="shared" si="10"/>
        <v>0.0018459885291693392</v>
      </c>
      <c r="E61" s="33">
        <f t="shared" si="1"/>
        <v>41379600</v>
      </c>
      <c r="F61" s="3">
        <v>0.0023</v>
      </c>
      <c r="G61" s="34">
        <v>5189800</v>
      </c>
      <c r="H61" s="3">
        <v>0.0223</v>
      </c>
      <c r="I61" s="34">
        <v>36189800</v>
      </c>
      <c r="J61" s="3">
        <v>0</v>
      </c>
      <c r="K61" s="34">
        <v>0</v>
      </c>
      <c r="L61" s="3">
        <v>0</v>
      </c>
      <c r="M61" s="34">
        <v>0</v>
      </c>
      <c r="N61" s="3">
        <v>0</v>
      </c>
      <c r="O61" s="34">
        <v>0</v>
      </c>
      <c r="P61" s="3">
        <v>0</v>
      </c>
      <c r="Q61" s="34">
        <v>0</v>
      </c>
      <c r="R61" s="3">
        <v>0</v>
      </c>
      <c r="S61" s="34">
        <v>0</v>
      </c>
      <c r="T61" s="3">
        <f t="shared" si="62"/>
        <v>0</v>
      </c>
      <c r="U61" s="34">
        <v>0</v>
      </c>
      <c r="V61" s="3">
        <f t="shared" si="12"/>
        <v>0</v>
      </c>
      <c r="W61" s="34"/>
      <c r="X61" s="3">
        <f t="shared" si="63"/>
        <v>0</v>
      </c>
      <c r="Y61" s="34"/>
      <c r="Z61" s="3">
        <f t="shared" si="14"/>
        <v>0</v>
      </c>
      <c r="AA61" s="34"/>
      <c r="AB61" s="30"/>
      <c r="AC61" s="34"/>
      <c r="AD61" s="35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2" t="s">
        <v>83</v>
      </c>
      <c r="B62" s="52" t="s">
        <v>84</v>
      </c>
      <c r="C62" s="53" t="s">
        <v>85</v>
      </c>
      <c r="D62" s="35">
        <f t="shared" si="10"/>
        <v>0.0016934364896535518</v>
      </c>
      <c r="E62" s="33">
        <f t="shared" si="1"/>
        <v>37960000</v>
      </c>
      <c r="F62" s="3">
        <v>0</v>
      </c>
      <c r="G62" s="34">
        <v>0</v>
      </c>
      <c r="H62" s="3">
        <v>0.0234</v>
      </c>
      <c r="I62" s="34">
        <v>37960000</v>
      </c>
      <c r="J62" s="3">
        <v>0</v>
      </c>
      <c r="K62" s="34">
        <v>0</v>
      </c>
      <c r="L62" s="3">
        <v>0</v>
      </c>
      <c r="M62" s="34">
        <v>0</v>
      </c>
      <c r="N62" s="3">
        <v>0</v>
      </c>
      <c r="O62" s="34">
        <v>0</v>
      </c>
      <c r="P62" s="3">
        <v>0</v>
      </c>
      <c r="Q62" s="34">
        <v>0</v>
      </c>
      <c r="R62" s="3">
        <v>0</v>
      </c>
      <c r="S62" s="34">
        <v>0</v>
      </c>
      <c r="T62" s="3">
        <f t="shared" si="62"/>
        <v>0</v>
      </c>
      <c r="U62" s="34">
        <v>0</v>
      </c>
      <c r="V62" s="3">
        <f t="shared" si="12"/>
        <v>0</v>
      </c>
      <c r="W62" s="34"/>
      <c r="X62" s="3">
        <f t="shared" si="63"/>
        <v>0</v>
      </c>
      <c r="Y62" s="34"/>
      <c r="Z62" s="3">
        <f t="shared" si="14"/>
        <v>0</v>
      </c>
      <c r="AA62" s="34"/>
      <c r="AB62" s="30"/>
      <c r="AC62" s="34"/>
      <c r="AD62" s="35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2" t="s">
        <v>86</v>
      </c>
      <c r="B63" s="52" t="s">
        <v>87</v>
      </c>
      <c r="C63" s="32" t="s">
        <v>88</v>
      </c>
      <c r="D63" s="35">
        <f t="shared" si="10"/>
        <v>0.0010143965622810994</v>
      </c>
      <c r="E63" s="33">
        <f t="shared" si="1"/>
        <v>22738670</v>
      </c>
      <c r="F63" s="3">
        <v>0</v>
      </c>
      <c r="G63" s="34">
        <v>0</v>
      </c>
      <c r="H63" s="3">
        <v>0</v>
      </c>
      <c r="I63" s="34">
        <v>0</v>
      </c>
      <c r="J63" s="3">
        <v>0</v>
      </c>
      <c r="K63" s="34">
        <v>0</v>
      </c>
      <c r="L63" s="3">
        <v>0</v>
      </c>
      <c r="M63" s="34">
        <v>0</v>
      </c>
      <c r="N63" s="3">
        <v>0</v>
      </c>
      <c r="O63" s="34">
        <v>0</v>
      </c>
      <c r="P63" s="3">
        <v>0</v>
      </c>
      <c r="Q63" s="34">
        <v>0</v>
      </c>
      <c r="R63" s="3">
        <v>0.0023</v>
      </c>
      <c r="S63" s="34">
        <v>4500000</v>
      </c>
      <c r="T63" s="3">
        <f t="shared" si="62"/>
        <v>0.0034426535887000904</v>
      </c>
      <c r="U63" s="34">
        <v>6500000</v>
      </c>
      <c r="V63" s="3">
        <f t="shared" si="12"/>
        <v>0</v>
      </c>
      <c r="W63" s="34"/>
      <c r="X63" s="3">
        <f t="shared" si="63"/>
        <v>0</v>
      </c>
      <c r="Y63" s="34"/>
      <c r="Z63" s="3">
        <f t="shared" si="14"/>
        <v>0.0037610419007502774</v>
      </c>
      <c r="AA63" s="34">
        <v>9260748</v>
      </c>
      <c r="AB63" s="30"/>
      <c r="AC63" s="34">
        <v>2477922</v>
      </c>
      <c r="AD63" s="35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2" t="s">
        <v>89</v>
      </c>
      <c r="B64" s="52" t="s">
        <v>90</v>
      </c>
      <c r="C64" s="32" t="s">
        <v>90</v>
      </c>
      <c r="D64" s="35">
        <f t="shared" si="10"/>
        <v>0.001580889165930122</v>
      </c>
      <c r="E64" s="33">
        <f t="shared" si="1"/>
        <v>35437144</v>
      </c>
      <c r="F64" s="3">
        <v>0</v>
      </c>
      <c r="G64" s="34">
        <v>0</v>
      </c>
      <c r="H64" s="3">
        <v>0.0219</v>
      </c>
      <c r="I64" s="34">
        <v>35437144</v>
      </c>
      <c r="J64" s="3">
        <v>0</v>
      </c>
      <c r="K64" s="34">
        <v>0</v>
      </c>
      <c r="L64" s="3">
        <v>0</v>
      </c>
      <c r="M64" s="34">
        <v>0</v>
      </c>
      <c r="N64" s="3">
        <v>0</v>
      </c>
      <c r="O64" s="34">
        <v>0</v>
      </c>
      <c r="P64" s="3">
        <v>0</v>
      </c>
      <c r="Q64" s="34">
        <v>0</v>
      </c>
      <c r="R64" s="3">
        <v>0</v>
      </c>
      <c r="S64" s="34">
        <v>0</v>
      </c>
      <c r="T64" s="3">
        <f t="shared" si="62"/>
        <v>0</v>
      </c>
      <c r="V64" s="3">
        <f t="shared" si="12"/>
        <v>0</v>
      </c>
      <c r="W64" s="34"/>
      <c r="X64" s="3">
        <f t="shared" si="63"/>
        <v>0</v>
      </c>
      <c r="Y64" s="34"/>
      <c r="Z64" s="3">
        <f t="shared" si="14"/>
        <v>0</v>
      </c>
      <c r="AA64" s="34"/>
      <c r="AB64" s="30"/>
      <c r="AC64" s="34"/>
      <c r="AD64" s="35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2">
        <v>811</v>
      </c>
      <c r="B65" s="27" t="s">
        <v>91</v>
      </c>
      <c r="C65" s="32" t="s">
        <v>91</v>
      </c>
      <c r="D65" s="31">
        <f t="shared" si="10"/>
        <v>0.003381471157804926</v>
      </c>
      <c r="E65" s="29">
        <f t="shared" si="1"/>
        <v>75798913</v>
      </c>
      <c r="F65" s="30">
        <v>0.0043</v>
      </c>
      <c r="G65" s="30">
        <v>9569500</v>
      </c>
      <c r="H65" s="30">
        <v>0.0167</v>
      </c>
      <c r="I65" s="30">
        <v>27064500</v>
      </c>
      <c r="J65" s="30">
        <v>0.0053</v>
      </c>
      <c r="K65" s="30">
        <v>9314500</v>
      </c>
      <c r="L65" s="30">
        <v>0.0052</v>
      </c>
      <c r="M65" s="30">
        <v>9569500</v>
      </c>
      <c r="N65" s="30">
        <v>0.01</v>
      </c>
      <c r="O65" s="30">
        <v>19314500</v>
      </c>
      <c r="P65" s="30">
        <v>0</v>
      </c>
      <c r="Q65" s="30">
        <v>0</v>
      </c>
      <c r="R65" s="30">
        <v>0</v>
      </c>
      <c r="S65" s="30">
        <v>0</v>
      </c>
      <c r="T65" s="30">
        <f t="shared" si="62"/>
        <v>0.0005118500280948339</v>
      </c>
      <c r="U65" s="30">
        <v>966413</v>
      </c>
      <c r="V65" s="30">
        <f t="shared" si="12"/>
        <v>0</v>
      </c>
      <c r="W65" s="30"/>
      <c r="X65" s="30">
        <f t="shared" si="63"/>
        <v>0</v>
      </c>
      <c r="Y65" s="30"/>
      <c r="Z65" s="30">
        <f t="shared" si="14"/>
        <v>0</v>
      </c>
      <c r="AA65" s="30"/>
      <c r="AB65" s="30"/>
      <c r="AC65" s="30"/>
      <c r="AD65" s="31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2">
        <v>128</v>
      </c>
      <c r="B66" s="27" t="s">
        <v>116</v>
      </c>
      <c r="C66" s="32" t="s">
        <v>116</v>
      </c>
      <c r="D66" s="35">
        <f t="shared" si="10"/>
        <v>0</v>
      </c>
      <c r="E66" s="29">
        <f t="shared" si="1"/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f t="shared" si="62"/>
        <v>0</v>
      </c>
      <c r="U66" s="30">
        <v>0</v>
      </c>
      <c r="V66" s="3">
        <f t="shared" si="12"/>
        <v>0</v>
      </c>
      <c r="W66" s="30"/>
      <c r="X66" s="30">
        <f t="shared" si="63"/>
        <v>0</v>
      </c>
      <c r="Y66" s="30"/>
      <c r="Z66" s="30">
        <f t="shared" si="14"/>
        <v>0</v>
      </c>
      <c r="AA66" s="30"/>
      <c r="AB66" s="30"/>
      <c r="AC66" s="30"/>
      <c r="AD66" s="31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2" t="s">
        <v>93</v>
      </c>
      <c r="B67" s="27" t="s">
        <v>94</v>
      </c>
      <c r="C67" s="32" t="s">
        <v>95</v>
      </c>
      <c r="D67" s="31">
        <f t="shared" si="10"/>
        <v>0.14870482483108677</v>
      </c>
      <c r="E67" s="29">
        <f t="shared" si="1"/>
        <v>3333361000</v>
      </c>
      <c r="F67" s="30">
        <v>0.119</v>
      </c>
      <c r="G67" s="30">
        <v>265655200</v>
      </c>
      <c r="H67" s="30">
        <v>0.1999</v>
      </c>
      <c r="I67" s="30">
        <v>323655200</v>
      </c>
      <c r="J67" s="30">
        <v>0.1426</v>
      </c>
      <c r="K67" s="30">
        <v>251655200</v>
      </c>
      <c r="L67" s="30">
        <v>0.2309</v>
      </c>
      <c r="M67" s="30">
        <v>422542800</v>
      </c>
      <c r="N67" s="30">
        <v>0.0911</v>
      </c>
      <c r="O67" s="30">
        <v>175267600</v>
      </c>
      <c r="P67" s="30">
        <v>0.1123</v>
      </c>
      <c r="Q67" s="30">
        <v>263655200</v>
      </c>
      <c r="R67" s="30">
        <v>0.1722</v>
      </c>
      <c r="S67" s="30">
        <v>333655200</v>
      </c>
      <c r="T67" s="30">
        <f t="shared" si="62"/>
        <v>0.15469950537303817</v>
      </c>
      <c r="U67" s="30">
        <f>74084800+218000000</f>
        <v>292084800</v>
      </c>
      <c r="V67" s="30">
        <f t="shared" si="12"/>
        <v>0.16080274513294088</v>
      </c>
      <c r="W67" s="30">
        <f>74797450 +224000000</f>
        <v>298797450</v>
      </c>
      <c r="X67" s="30">
        <f t="shared" si="63"/>
        <v>0.1142132843645729</v>
      </c>
      <c r="Y67" s="30">
        <f>74797450+215000000</f>
        <v>289797450</v>
      </c>
      <c r="Z67" s="30">
        <f t="shared" si="14"/>
        <v>0.1388132504004642</v>
      </c>
      <c r="AA67" s="30">
        <f>74797450+267000000</f>
        <v>341797450</v>
      </c>
      <c r="AB67" s="30"/>
      <c r="AC67" s="30">
        <v>74797450</v>
      </c>
      <c r="AD67" s="31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4"/>
      <c r="H69" s="3"/>
      <c r="I69" s="34"/>
      <c r="J69" s="3"/>
      <c r="K69" s="34"/>
      <c r="L69" s="3"/>
      <c r="M69" s="34"/>
      <c r="N69" s="3"/>
      <c r="O69" s="34"/>
      <c r="P69" s="3"/>
      <c r="Q69" s="34"/>
      <c r="R69" s="3"/>
      <c r="S69" s="34"/>
      <c r="T69" s="3"/>
      <c r="X69" s="3"/>
      <c r="AC69" s="3"/>
      <c r="AD69" s="3"/>
    </row>
    <row r="70" ht="12.75" customHeight="1" spans="4:29" x14ac:dyDescent="0.25" outlineLevel="1" collapsed="1">
      <c r="D70" s="3"/>
      <c r="F70" s="71"/>
      <c r="G70" s="72" t="s">
        <v>3</v>
      </c>
      <c r="H70" s="73"/>
      <c r="I70" s="72" t="s">
        <v>4</v>
      </c>
      <c r="J70" s="73"/>
      <c r="K70" s="72" t="s">
        <v>117</v>
      </c>
      <c r="L70" s="73"/>
      <c r="M70" s="72" t="s">
        <v>118</v>
      </c>
      <c r="N70" s="73"/>
      <c r="O70" s="72" t="s">
        <v>7</v>
      </c>
      <c r="P70" s="73"/>
      <c r="Q70" s="72" t="s">
        <v>119</v>
      </c>
      <c r="R70" s="73"/>
      <c r="S70" s="72" t="s">
        <v>120</v>
      </c>
      <c r="T70" s="73"/>
      <c r="U70" s="72" t="s">
        <v>121</v>
      </c>
      <c r="V70" s="74"/>
      <c r="W70" s="72" t="s">
        <v>122</v>
      </c>
      <c r="X70" s="73"/>
      <c r="Y70" s="72" t="s">
        <v>123</v>
      </c>
      <c r="Z70" s="73"/>
      <c r="AA70" s="72" t="s">
        <v>124</v>
      </c>
      <c r="AB70" s="75"/>
      <c r="AC70" s="75" t="s">
        <v>125</v>
      </c>
    </row>
    <row r="71" ht="12.75" customHeight="1" spans="1:42" x14ac:dyDescent="0.25" outlineLevel="1" collapsed="1">
      <c r="A71" s="27"/>
      <c r="B71" s="27" t="s">
        <v>126</v>
      </c>
      <c r="C71" s="45"/>
      <c r="D71" s="76"/>
      <c r="E71" s="45"/>
      <c r="F71" s="77"/>
      <c r="G71" s="78">
        <v>4239048626</v>
      </c>
      <c r="H71" s="77"/>
      <c r="I71" s="78">
        <v>3522316950</v>
      </c>
      <c r="J71" s="77"/>
      <c r="K71" s="78">
        <v>3772272859</v>
      </c>
      <c r="L71" s="77"/>
      <c r="M71" s="78">
        <v>3911889609</v>
      </c>
      <c r="N71" s="77"/>
      <c r="O71" s="78">
        <v>3973634228</v>
      </c>
      <c r="P71" s="77"/>
      <c r="Q71" s="78">
        <v>4822733263</v>
      </c>
      <c r="R71" s="77"/>
      <c r="S71" s="78">
        <v>5058911628</v>
      </c>
      <c r="T71" s="77"/>
      <c r="U71" s="78">
        <f>SUM(U72:U75)</f>
        <v>4785275712</v>
      </c>
      <c r="V71" s="78"/>
      <c r="W71" s="78">
        <f t="shared" ref="W71:Y71" si="66">SUM(W72:W75)</f>
        <v>4952988949</v>
      </c>
      <c r="X71" s="78">
        <f t="shared" si="66"/>
        <v>0</v>
      </c>
      <c r="Y71" s="78">
        <f t="shared" si="66"/>
        <v>5256312713</v>
      </c>
      <c r="Z71" s="77"/>
      <c r="AA71" s="78">
        <f>SUM(AA72:AA75)</f>
        <v>5463955565</v>
      </c>
      <c r="AB71" s="78"/>
      <c r="AC71" s="78">
        <f>SUM(AC72:AC75)</f>
        <v>0</v>
      </c>
      <c r="AD71" s="45"/>
      <c r="AE71" s="45"/>
      <c r="AF71" s="45"/>
      <c r="AG71" s="45"/>
      <c r="AH71" s="45"/>
      <c r="AI71" s="45"/>
      <c r="AL71" s="45"/>
      <c r="AM71" s="45"/>
      <c r="AN71" s="45"/>
      <c r="AO71" s="45"/>
      <c r="AP71" s="45"/>
    </row>
    <row r="72" ht="12.75" customHeight="1" spans="1:42" x14ac:dyDescent="0.25" outlineLevel="1" collapsed="1">
      <c r="A72" s="44"/>
      <c r="B72" s="44">
        <v>16</v>
      </c>
      <c r="C72" s="45" t="s">
        <v>127</v>
      </c>
      <c r="D72" s="76"/>
      <c r="E72" s="45"/>
      <c r="F72" s="79"/>
      <c r="G72" s="80">
        <v>490000000</v>
      </c>
      <c r="H72" s="79"/>
      <c r="I72" s="80">
        <v>300000001</v>
      </c>
      <c r="J72" s="79"/>
      <c r="K72" s="80">
        <v>731002218</v>
      </c>
      <c r="L72" s="79"/>
      <c r="M72" s="80">
        <v>0</v>
      </c>
      <c r="N72" s="79"/>
      <c r="O72" s="80">
        <v>0</v>
      </c>
      <c r="P72" s="79"/>
      <c r="Q72" s="80">
        <v>0</v>
      </c>
      <c r="R72" s="79"/>
      <c r="S72" s="80">
        <v>8732</v>
      </c>
      <c r="T72" s="79"/>
      <c r="U72" s="80">
        <v>8439</v>
      </c>
      <c r="V72" s="80"/>
      <c r="W72" s="80">
        <v>18096</v>
      </c>
      <c r="X72" s="79"/>
      <c r="Y72" s="80">
        <v>16186139</v>
      </c>
      <c r="Z72" s="79"/>
      <c r="AA72" s="80">
        <v>0</v>
      </c>
      <c r="AB72" s="80"/>
      <c r="AC72" s="80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</row>
    <row r="73" ht="12.75" customHeight="1" spans="1:42" x14ac:dyDescent="0.25" outlineLevel="1" collapsed="1">
      <c r="A73" s="44"/>
      <c r="B73" s="44"/>
      <c r="C73" s="45" t="s">
        <v>128</v>
      </c>
      <c r="D73" s="76"/>
      <c r="E73" s="45"/>
      <c r="F73" s="79"/>
      <c r="G73" s="80">
        <v>2444847573</v>
      </c>
      <c r="H73" s="79"/>
      <c r="I73" s="80">
        <v>2492520974</v>
      </c>
      <c r="J73" s="79"/>
      <c r="K73" s="80">
        <v>2420905393</v>
      </c>
      <c r="L73" s="79"/>
      <c r="M73" s="80">
        <v>2471262885</v>
      </c>
      <c r="N73" s="79"/>
      <c r="O73" s="80">
        <v>3114233745</v>
      </c>
      <c r="P73" s="79"/>
      <c r="Q73" s="80">
        <v>4001523701</v>
      </c>
      <c r="R73" s="79"/>
      <c r="S73" s="80">
        <v>4315405654</v>
      </c>
      <c r="T73" s="79"/>
      <c r="U73" s="80">
        <f>3067307374  +1717968338 -U72-U74-U75</f>
        <v>2914342162</v>
      </c>
      <c r="V73" s="80"/>
      <c r="W73" s="80">
        <f>3684957358 +1268031591  -W72-W75-W74</f>
        <v>3779390889</v>
      </c>
      <c r="X73" s="79"/>
      <c r="Y73" s="80">
        <f>4362488173  +893824540 -Y72-Y74-Y75</f>
        <v>4234992263</v>
      </c>
      <c r="Z73" s="79"/>
      <c r="AA73" s="80">
        <f>4576237614 +887717951 -AA72-AA74-AA75</f>
        <v>4495144287</v>
      </c>
      <c r="AB73" s="80"/>
      <c r="AC73" s="80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</row>
    <row r="74" ht="12.75" customHeight="1" spans="1:42" x14ac:dyDescent="0.25" outlineLevel="1" collapsed="1">
      <c r="A74" s="44"/>
      <c r="B74" s="44">
        <v>46</v>
      </c>
      <c r="C74" s="45" t="s">
        <v>129</v>
      </c>
      <c r="D74" s="76"/>
      <c r="E74" s="45"/>
      <c r="F74" s="79"/>
      <c r="G74" s="80">
        <v>164240487</v>
      </c>
      <c r="H74" s="79"/>
      <c r="I74" s="80">
        <v>147570559</v>
      </c>
      <c r="J74" s="79"/>
      <c r="K74" s="80">
        <v>295982</v>
      </c>
      <c r="L74" s="79"/>
      <c r="M74" s="80">
        <v>287747364</v>
      </c>
      <c r="N74" s="79"/>
      <c r="O74" s="80">
        <v>289856202</v>
      </c>
      <c r="P74" s="79"/>
      <c r="Q74" s="80">
        <v>364705633</v>
      </c>
      <c r="R74" s="79"/>
      <c r="S74" s="80">
        <v>742713</v>
      </c>
      <c r="T74" s="79"/>
      <c r="U74" s="80">
        <v>306652782</v>
      </c>
      <c r="V74" s="80"/>
      <c r="W74" s="80">
        <v>43734239</v>
      </c>
      <c r="X74" s="79"/>
      <c r="Y74" s="80">
        <v>707682</v>
      </c>
      <c r="Z74" s="79"/>
      <c r="AA74" s="80">
        <v>597740</v>
      </c>
      <c r="AB74" s="80"/>
      <c r="AC74" s="80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</row>
    <row r="75" ht="12.75" customHeight="1" spans="1:42" x14ac:dyDescent="0.25" outlineLevel="1" collapsed="1">
      <c r="A75" s="44"/>
      <c r="B75" s="44" t="s">
        <v>130</v>
      </c>
      <c r="C75" s="45" t="s">
        <v>131</v>
      </c>
      <c r="D75" s="76"/>
      <c r="E75" s="45"/>
      <c r="F75" s="79"/>
      <c r="G75" s="80">
        <v>1139960566</v>
      </c>
      <c r="H75" s="79"/>
      <c r="I75" s="80">
        <v>582225416</v>
      </c>
      <c r="J75" s="79"/>
      <c r="K75" s="80">
        <v>620069266</v>
      </c>
      <c r="L75" s="79"/>
      <c r="M75" s="80">
        <v>1152879360</v>
      </c>
      <c r="N75" s="79"/>
      <c r="O75" s="80">
        <v>569544281</v>
      </c>
      <c r="P75" s="79"/>
      <c r="Q75" s="80">
        <v>456503929</v>
      </c>
      <c r="R75" s="79"/>
      <c r="S75" s="80">
        <v>742754529</v>
      </c>
      <c r="T75" s="79"/>
      <c r="U75" s="80">
        <f>477690344 +3073595 +367573659 +714930830 +1003901</f>
        <v>1564272329</v>
      </c>
      <c r="V75" s="80"/>
      <c r="W75" s="80">
        <f>930830 +161633357 +161633357 +608916034 +196732147</f>
        <v>1129845725</v>
      </c>
      <c r="X75" s="79"/>
      <c r="Y75" s="80">
        <f>34069694 +722348938  +246559449 +1006241 +442307</f>
        <v>1004426629</v>
      </c>
      <c r="Z75" s="79"/>
      <c r="AA75" s="80">
        <f>59587854 +672400635 +234297393 +445812 +1481844</f>
        <v>968213538</v>
      </c>
      <c r="AB75" s="80"/>
      <c r="AC75" s="80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2"/>
      <c r="F76" s="81"/>
      <c r="G76" s="82">
        <v>4239048626</v>
      </c>
      <c r="H76" s="81"/>
      <c r="I76" s="82">
        <v>3522316950</v>
      </c>
      <c r="J76" s="81"/>
      <c r="K76" s="82">
        <v>3772272859</v>
      </c>
      <c r="L76" s="81"/>
      <c r="M76" s="82">
        <v>3911889609</v>
      </c>
      <c r="N76" s="81"/>
      <c r="O76" s="82">
        <v>3973634228</v>
      </c>
      <c r="P76" s="81"/>
      <c r="Q76" s="82">
        <v>4822733263</v>
      </c>
      <c r="R76" s="81"/>
      <c r="S76" s="82">
        <v>5058911628</v>
      </c>
      <c r="T76" s="81"/>
      <c r="U76" s="82">
        <f>SUM(U77:U83)</f>
        <v>4785275712</v>
      </c>
      <c r="V76" s="87"/>
      <c r="W76" s="82">
        <f t="shared" ref="W76:AA76" si="67">SUM(W77:W83)</f>
        <v>4952988949</v>
      </c>
      <c r="X76" s="81">
        <f t="shared" si="67"/>
        <v>0</v>
      </c>
      <c r="Y76" s="82">
        <f t="shared" si="67"/>
        <v>5256312713</v>
      </c>
      <c r="Z76" s="81">
        <f t="shared" si="67"/>
        <v>0</v>
      </c>
      <c r="AA76" s="82">
        <f t="shared" si="67"/>
        <v>5463955565</v>
      </c>
      <c r="AB76" s="87"/>
      <c r="AC76" s="82">
        <f>SUM(AC77:AC79)</f>
        <v>0</v>
      </c>
      <c r="AD76" s="32"/>
      <c r="AE76" s="32"/>
      <c r="AF76" s="32"/>
      <c r="AG76" s="32"/>
      <c r="AH76" s="32"/>
      <c r="AI76" s="32"/>
      <c r="AJ76" s="45"/>
      <c r="AK76" s="45"/>
      <c r="AL76" s="32"/>
      <c r="AM76" s="32"/>
      <c r="AN76" s="32"/>
      <c r="AO76" s="32"/>
      <c r="AP76" s="32"/>
    </row>
    <row r="77" ht="12.75" customHeight="1" spans="1:42" x14ac:dyDescent="0.25" outlineLevel="1" collapsed="1">
      <c r="A77" s="83"/>
      <c r="B77" s="83" t="s">
        <v>133</v>
      </c>
      <c r="C77" s="83"/>
      <c r="D77" s="3"/>
      <c r="E77" s="32"/>
      <c r="F77" s="84"/>
      <c r="G77" s="85">
        <v>1484741710</v>
      </c>
      <c r="H77" s="84"/>
      <c r="I77" s="85">
        <v>1302804936</v>
      </c>
      <c r="J77" s="84"/>
      <c r="K77" s="85">
        <v>1054729105</v>
      </c>
      <c r="L77" s="84"/>
      <c r="M77" s="85">
        <v>1422240951</v>
      </c>
      <c r="N77" s="84"/>
      <c r="O77" s="85">
        <v>1068247502</v>
      </c>
      <c r="P77" s="84"/>
      <c r="Q77" s="85">
        <v>714885017</v>
      </c>
      <c r="R77" s="84"/>
      <c r="S77" s="85">
        <v>137258152</v>
      </c>
      <c r="T77" s="84"/>
      <c r="U77" s="85">
        <f>1390169611-1003901-714930830</f>
        <v>674234880</v>
      </c>
      <c r="V77" s="85"/>
      <c r="W77" s="85">
        <f>342674695 -1003901 -675502</f>
        <v>340995292</v>
      </c>
      <c r="X77" s="84"/>
      <c r="Y77" s="85">
        <f>264902933 -1006241 -442307</f>
        <v>263454385</v>
      </c>
      <c r="Z77" s="84"/>
      <c r="AA77" s="85">
        <f>236823904 -1481844 -445812</f>
        <v>234896248</v>
      </c>
      <c r="AB77" s="85"/>
      <c r="AC77" s="85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</row>
    <row r="78" ht="12.75" customHeight="1" spans="1:42" x14ac:dyDescent="0.25" outlineLevel="1" collapsed="1">
      <c r="A78" s="83"/>
      <c r="B78" s="83" t="s">
        <v>134</v>
      </c>
      <c r="C78" s="83"/>
      <c r="D78" s="3"/>
      <c r="E78" s="32"/>
      <c r="F78" s="84"/>
      <c r="G78" s="85">
        <v>469215711</v>
      </c>
      <c r="H78" s="84"/>
      <c r="I78" s="85">
        <v>16470209</v>
      </c>
      <c r="J78" s="84"/>
      <c r="K78" s="85">
        <v>465077573</v>
      </c>
      <c r="L78" s="84"/>
      <c r="M78" s="85">
        <v>4690797</v>
      </c>
      <c r="N78" s="84"/>
      <c r="O78" s="85">
        <v>38651927</v>
      </c>
      <c r="P78" s="84"/>
      <c r="Q78" s="85">
        <v>105313425</v>
      </c>
      <c r="R78" s="84"/>
      <c r="S78" s="85">
        <v>31044986</v>
      </c>
      <c r="T78" s="84"/>
      <c r="U78" s="85">
        <v>3073595</v>
      </c>
      <c r="V78" s="85"/>
      <c r="W78" s="85">
        <v>223474128</v>
      </c>
      <c r="X78" s="84"/>
      <c r="Y78" s="85">
        <v>34069694</v>
      </c>
      <c r="Z78" s="84"/>
      <c r="AA78" s="85">
        <v>59587854</v>
      </c>
      <c r="AB78" s="85"/>
      <c r="AC78" s="85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</row>
    <row r="79" ht="12.75" customHeight="1" spans="1:42" x14ac:dyDescent="0.25" outlineLevel="1" collapsed="1">
      <c r="A79" s="83"/>
      <c r="B79" s="83" t="s">
        <v>135</v>
      </c>
      <c r="C79" s="83"/>
      <c r="D79" s="3"/>
      <c r="E79" s="32"/>
      <c r="F79" s="84"/>
      <c r="G79" s="85">
        <v>2285091205</v>
      </c>
      <c r="H79" s="84"/>
      <c r="I79" s="85">
        <v>2203041805</v>
      </c>
      <c r="J79" s="84"/>
      <c r="K79" s="85">
        <v>2215285381</v>
      </c>
      <c r="L79" s="84"/>
      <c r="M79" s="85">
        <v>2416377061</v>
      </c>
      <c r="N79" s="84"/>
      <c r="O79" s="85">
        <v>2788297199</v>
      </c>
      <c r="P79" s="84"/>
      <c r="Q79" s="85">
        <v>3907315222</v>
      </c>
      <c r="R79" s="84"/>
      <c r="S79" s="85">
        <v>4795388739</v>
      </c>
      <c r="T79" s="84"/>
      <c r="U79" s="85">
        <f>714930830 +327798727 +672066635 +477690344 +1728179343</f>
        <v>3920665879</v>
      </c>
      <c r="V79" s="85"/>
      <c r="W79" s="85">
        <f>1789325314 +797928935 +925354727 +675502 +608916034</f>
        <v>4122200512</v>
      </c>
      <c r="X79" s="84"/>
      <c r="Y79" s="85">
        <f>2077547838 +722348938   +1148276756 +35985870 +628921607 +442307</f>
        <v>4613523316</v>
      </c>
      <c r="Z79" s="84"/>
      <c r="AA79" s="85">
        <f>2210565882+1179373253 +31182813 +672400635 +650894047 +445812</f>
        <v>4744862442</v>
      </c>
      <c r="AB79" s="85"/>
      <c r="AC79" s="85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</row>
    <row r="80" ht="12.75" customHeight="1" spans="1:42" x14ac:dyDescent="0.25" outlineLevel="1" collapsed="1">
      <c r="A80" s="83"/>
      <c r="B80" s="83" t="s">
        <v>136</v>
      </c>
      <c r="C80" s="83"/>
      <c r="D80" s="3"/>
      <c r="E80" s="32"/>
      <c r="F80" s="84"/>
      <c r="G80" s="85"/>
      <c r="H80" s="84"/>
      <c r="I80" s="85"/>
      <c r="J80" s="84"/>
      <c r="K80" s="85">
        <v>37180800</v>
      </c>
      <c r="L80" s="84"/>
      <c r="M80" s="85">
        <v>68580800</v>
      </c>
      <c r="N80" s="84"/>
      <c r="O80" s="85">
        <v>68580800</v>
      </c>
      <c r="P80" s="84"/>
      <c r="Q80" s="85">
        <v>68580800</v>
      </c>
      <c r="R80" s="84"/>
      <c r="S80" s="85">
        <v>68580800</v>
      </c>
      <c r="T80" s="84"/>
      <c r="U80" s="85">
        <v>68580800</v>
      </c>
      <c r="V80" s="85"/>
      <c r="W80" s="85">
        <v>68580800</v>
      </c>
      <c r="X80" s="84"/>
      <c r="Y80" s="85">
        <v>68580800</v>
      </c>
      <c r="Z80" s="84"/>
      <c r="AA80" s="85">
        <v>68580800</v>
      </c>
      <c r="AB80" s="85"/>
      <c r="AC80" s="85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</row>
    <row r="81" ht="12.75" customHeight="1" spans="1:42" x14ac:dyDescent="0.25" outlineLevel="1" collapsed="1">
      <c r="A81" s="83"/>
      <c r="B81" s="83" t="s">
        <v>137</v>
      </c>
      <c r="C81" s="83"/>
      <c r="D81" s="3"/>
      <c r="E81" s="32"/>
      <c r="F81" s="84"/>
      <c r="G81" s="85"/>
      <c r="H81" s="84"/>
      <c r="I81" s="85"/>
      <c r="J81" s="84"/>
      <c r="K81" s="85"/>
      <c r="L81" s="84"/>
      <c r="M81" s="85"/>
      <c r="N81" s="84"/>
      <c r="O81" s="85"/>
      <c r="P81" s="84"/>
      <c r="Q81" s="85">
        <v>1000383</v>
      </c>
      <c r="R81" s="84"/>
      <c r="S81" s="85">
        <v>1000535</v>
      </c>
      <c r="T81" s="84"/>
      <c r="U81" s="85">
        <v>1003901</v>
      </c>
      <c r="V81" s="85"/>
      <c r="W81" s="85">
        <v>1006070</v>
      </c>
      <c r="X81" s="84"/>
      <c r="Y81" s="85">
        <v>1006241</v>
      </c>
      <c r="Z81" s="84"/>
      <c r="AA81" s="85">
        <v>1481844</v>
      </c>
      <c r="AB81" s="85"/>
      <c r="AC81" s="85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</row>
    <row r="82" ht="12.75" customHeight="1" spans="1:42" x14ac:dyDescent="0.25" outlineLevel="1" collapsed="1">
      <c r="A82" s="83"/>
      <c r="B82" s="83" t="s">
        <v>138</v>
      </c>
      <c r="C82" s="83"/>
      <c r="D82" s="3"/>
      <c r="E82" s="32"/>
      <c r="F82" s="84"/>
      <c r="G82" s="85"/>
      <c r="H82" s="84"/>
      <c r="I82" s="85"/>
      <c r="J82" s="84"/>
      <c r="K82" s="85"/>
      <c r="L82" s="84"/>
      <c r="M82" s="85"/>
      <c r="N82" s="84"/>
      <c r="O82" s="85">
        <v>9856800</v>
      </c>
      <c r="P82" s="84"/>
      <c r="Q82" s="85">
        <v>25638416</v>
      </c>
      <c r="R82" s="84"/>
      <c r="S82" s="85">
        <v>25638416</v>
      </c>
      <c r="T82" s="84"/>
      <c r="U82" s="85">
        <v>117716657</v>
      </c>
      <c r="V82" s="85"/>
      <c r="W82" s="85">
        <v>196732147</v>
      </c>
      <c r="X82" s="84"/>
      <c r="Y82" s="85">
        <v>275678277</v>
      </c>
      <c r="Z82" s="84"/>
      <c r="AA82" s="85">
        <v>354546377</v>
      </c>
      <c r="AB82" s="85"/>
      <c r="AC82" s="85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</row>
    <row r="83" ht="12.75" customHeight="1" spans="1:37" x14ac:dyDescent="0.25" outlineLevel="1" collapsed="1">
      <c r="A83" s="32"/>
      <c r="B83" s="32" t="s">
        <v>139</v>
      </c>
      <c r="D83" s="3"/>
      <c r="F83" s="3"/>
      <c r="G83" s="32">
        <v>0</v>
      </c>
      <c r="H83" s="3"/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W83" s="34">
        <v>0</v>
      </c>
      <c r="X83" s="34">
        <v>0</v>
      </c>
      <c r="Y83" s="34">
        <v>0</v>
      </c>
      <c r="Z83" s="3"/>
      <c r="AA83" s="34">
        <v>0</v>
      </c>
      <c r="AC83" s="34"/>
      <c r="AJ83" s="32"/>
      <c r="AK83" s="32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4"/>
      <c r="B86" s="54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4"/>
      <c r="B87" s="54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8" t="s">
        <v>151</v>
      </c>
      <c r="B1" s="88" t="s">
        <v>152</v>
      </c>
      <c r="C1" s="88" t="s">
        <v>153</v>
      </c>
      <c r="D1" s="89"/>
      <c r="E1" s="88" t="s">
        <v>154</v>
      </c>
      <c r="F1" s="88" t="s">
        <v>154</v>
      </c>
      <c r="G1" s="89"/>
      <c r="H1" s="90"/>
      <c r="I1" s="91" t="s">
        <v>155</v>
      </c>
      <c r="J1" s="92"/>
      <c r="K1" s="92"/>
      <c r="L1" s="92"/>
      <c r="M1" s="92"/>
      <c r="N1" s="92"/>
      <c r="O1" s="92"/>
      <c r="P1" s="11"/>
      <c r="Q1" s="91" t="s">
        <v>156</v>
      </c>
      <c r="R1" s="92"/>
      <c r="S1" s="92"/>
      <c r="T1" s="92"/>
      <c r="U1" s="92"/>
      <c r="V1" s="92"/>
      <c r="W1" s="92"/>
      <c r="X1" s="11"/>
      <c r="Y1" s="91" t="s">
        <v>157</v>
      </c>
      <c r="Z1" s="92"/>
      <c r="AA1" s="11"/>
      <c r="AB1" s="88" t="s">
        <v>158</v>
      </c>
      <c r="AC1" s="90"/>
      <c r="AD1" s="88" t="s">
        <v>153</v>
      </c>
      <c r="AE1" s="93"/>
      <c r="AF1" s="93"/>
      <c r="AG1" s="94"/>
      <c r="AH1" s="94"/>
      <c r="AI1" s="94"/>
      <c r="AJ1" s="95"/>
      <c r="AK1" s="96" t="s">
        <v>159</v>
      </c>
      <c r="AL1" s="92"/>
      <c r="AM1" s="92"/>
      <c r="AN1" s="92"/>
      <c r="AO1" s="11"/>
      <c r="AP1" s="96" t="s">
        <v>160</v>
      </c>
      <c r="AQ1" s="92"/>
      <c r="AR1" s="92"/>
      <c r="AS1" s="92"/>
      <c r="AT1" s="11"/>
      <c r="AU1" s="96" t="s">
        <v>161</v>
      </c>
      <c r="AV1" s="92"/>
      <c r="AW1" s="92"/>
      <c r="AX1" s="92"/>
      <c r="AY1" s="11"/>
      <c r="AZ1" s="96" t="s">
        <v>162</v>
      </c>
      <c r="BA1" s="92"/>
      <c r="BB1" s="92"/>
      <c r="BC1" s="92"/>
      <c r="BD1" s="11"/>
      <c r="BE1" s="97" t="s">
        <v>163</v>
      </c>
      <c r="BF1" s="92"/>
      <c r="BG1" s="92"/>
      <c r="BH1" s="92"/>
      <c r="BI1" s="11"/>
      <c r="BJ1" s="97" t="s">
        <v>164</v>
      </c>
      <c r="BK1" s="92"/>
      <c r="BL1" s="92"/>
      <c r="BM1" s="92"/>
      <c r="BN1" s="11"/>
      <c r="BO1" s="97" t="s">
        <v>165</v>
      </c>
      <c r="BP1" s="92"/>
      <c r="BQ1" s="92"/>
      <c r="BR1" s="92"/>
      <c r="BS1" s="11"/>
      <c r="BT1" s="97" t="s">
        <v>166</v>
      </c>
      <c r="BU1" s="92"/>
      <c r="BV1" s="92"/>
      <c r="BW1" s="92"/>
      <c r="BX1" s="11"/>
      <c r="BY1" s="98" t="s">
        <v>158</v>
      </c>
      <c r="BZ1" s="99"/>
      <c r="CA1" s="98" t="s">
        <v>153</v>
      </c>
    </row>
    <row r="2" spans="1:79" x14ac:dyDescent="0.25">
      <c r="A2" s="100"/>
      <c r="B2" s="100"/>
      <c r="C2" s="100"/>
      <c r="D2" s="100"/>
      <c r="E2" s="100"/>
      <c r="F2" s="101" t="s">
        <v>154</v>
      </c>
      <c r="G2" s="100"/>
      <c r="H2" s="102" t="s">
        <v>167</v>
      </c>
      <c r="I2" s="103" t="s">
        <v>168</v>
      </c>
      <c r="J2" s="104" t="s">
        <v>169</v>
      </c>
      <c r="K2" s="105" t="s">
        <v>170</v>
      </c>
      <c r="L2" s="106" t="s">
        <v>171</v>
      </c>
      <c r="M2" s="106" t="s">
        <v>172</v>
      </c>
      <c r="N2" s="107" t="s">
        <v>173</v>
      </c>
      <c r="O2" s="107" t="s">
        <v>174</v>
      </c>
      <c r="P2" s="102" t="s">
        <v>175</v>
      </c>
      <c r="Q2" s="103" t="s">
        <v>168</v>
      </c>
      <c r="R2" s="104" t="s">
        <v>169</v>
      </c>
      <c r="S2" s="105" t="s">
        <v>170</v>
      </c>
      <c r="T2" s="106" t="s">
        <v>171</v>
      </c>
      <c r="U2" s="106" t="s">
        <v>172</v>
      </c>
      <c r="V2" s="107" t="s">
        <v>173</v>
      </c>
      <c r="W2" s="107" t="s">
        <v>174</v>
      </c>
      <c r="X2" s="102" t="s">
        <v>175</v>
      </c>
      <c r="Y2" s="108" t="s">
        <v>17</v>
      </c>
      <c r="Z2" s="106" t="s">
        <v>34</v>
      </c>
      <c r="AA2" s="102" t="s">
        <v>175</v>
      </c>
      <c r="AB2" s="100"/>
      <c r="AC2" s="102" t="s">
        <v>1</v>
      </c>
      <c r="AD2" s="109"/>
      <c r="AE2" s="110"/>
      <c r="AF2" s="110"/>
      <c r="AG2" s="111" t="s">
        <v>169</v>
      </c>
      <c r="AH2" s="111" t="s">
        <v>34</v>
      </c>
      <c r="AI2" s="112" t="s">
        <v>1</v>
      </c>
      <c r="AJ2" s="111" t="s">
        <v>175</v>
      </c>
      <c r="AK2" s="111" t="s">
        <v>17</v>
      </c>
      <c r="AL2" s="111" t="s">
        <v>169</v>
      </c>
      <c r="AM2" s="111" t="s">
        <v>34</v>
      </c>
      <c r="AN2" s="111" t="s">
        <v>1</v>
      </c>
      <c r="AO2" s="111" t="s">
        <v>175</v>
      </c>
      <c r="AP2" s="111" t="s">
        <v>17</v>
      </c>
      <c r="AQ2" s="111" t="s">
        <v>169</v>
      </c>
      <c r="AR2" s="111" t="s">
        <v>34</v>
      </c>
      <c r="AS2" s="111" t="s">
        <v>1</v>
      </c>
      <c r="AT2" s="111" t="s">
        <v>175</v>
      </c>
      <c r="AU2" s="111" t="s">
        <v>17</v>
      </c>
      <c r="AV2" s="111" t="s">
        <v>169</v>
      </c>
      <c r="AW2" s="111" t="s">
        <v>34</v>
      </c>
      <c r="AX2" s="111" t="s">
        <v>1</v>
      </c>
      <c r="AY2" s="111" t="s">
        <v>175</v>
      </c>
      <c r="AZ2" s="102" t="s">
        <v>17</v>
      </c>
      <c r="BA2" s="113" t="s">
        <v>169</v>
      </c>
      <c r="BB2" s="113" t="s">
        <v>34</v>
      </c>
      <c r="BC2" s="113" t="s">
        <v>1</v>
      </c>
      <c r="BD2" s="113" t="s">
        <v>175</v>
      </c>
      <c r="BE2" s="102" t="s">
        <v>17</v>
      </c>
      <c r="BF2" s="113" t="s">
        <v>169</v>
      </c>
      <c r="BG2" s="113" t="s">
        <v>34</v>
      </c>
      <c r="BH2" s="113" t="s">
        <v>1</v>
      </c>
      <c r="BI2" s="113" t="s">
        <v>175</v>
      </c>
      <c r="BJ2" s="102" t="s">
        <v>17</v>
      </c>
      <c r="BK2" s="113" t="s">
        <v>169</v>
      </c>
      <c r="BL2" s="113" t="s">
        <v>34</v>
      </c>
      <c r="BM2" s="113" t="s">
        <v>1</v>
      </c>
      <c r="BN2" s="113" t="s">
        <v>175</v>
      </c>
      <c r="BO2" s="102" t="s">
        <v>17</v>
      </c>
      <c r="BP2" s="113" t="s">
        <v>169</v>
      </c>
      <c r="BQ2" s="113" t="s">
        <v>34</v>
      </c>
      <c r="BR2" s="113" t="s">
        <v>1</v>
      </c>
      <c r="BS2" s="113" t="s">
        <v>175</v>
      </c>
      <c r="BT2" s="102" t="s">
        <v>17</v>
      </c>
      <c r="BU2" s="113" t="s">
        <v>169</v>
      </c>
      <c r="BV2" s="113" t="s">
        <v>34</v>
      </c>
      <c r="BW2" s="113" t="s">
        <v>1</v>
      </c>
      <c r="BX2" s="113" t="s">
        <v>175</v>
      </c>
      <c r="BY2" s="114"/>
      <c r="BZ2" s="111" t="s">
        <v>1</v>
      </c>
      <c r="CA2" s="114"/>
    </row>
    <row r="3" ht="15.75" customHeight="1" spans="1:79" x14ac:dyDescent="0.25">
      <c r="A3" s="115">
        <v>1</v>
      </c>
      <c r="B3" s="116" t="s">
        <v>176</v>
      </c>
      <c r="C3" s="117" t="s">
        <v>177</v>
      </c>
      <c r="D3" s="118" t="s">
        <v>178</v>
      </c>
      <c r="E3" s="118" t="s">
        <v>179</v>
      </c>
      <c r="F3" s="118" t="s">
        <v>180</v>
      </c>
      <c r="G3" s="117" t="str">
        <f t="shared" ref="G3:G105" si="0">B3&amp;"_"&amp;C3</f>
        <v>ELMODINO_eShotLink</v>
      </c>
      <c r="H3" s="119"/>
      <c r="I3" s="120"/>
      <c r="J3" s="121"/>
      <c r="K3" s="122"/>
      <c r="L3" s="123">
        <v>0</v>
      </c>
      <c r="M3" s="123"/>
      <c r="N3" s="121"/>
      <c r="O3" s="124">
        <v>0</v>
      </c>
      <c r="P3" s="125">
        <v>0</v>
      </c>
      <c r="Q3" s="125">
        <v>0</v>
      </c>
      <c r="R3" s="125"/>
      <c r="S3" s="125"/>
      <c r="T3" s="125"/>
      <c r="U3" s="125"/>
      <c r="V3" s="125">
        <v>0</v>
      </c>
      <c r="W3" s="125"/>
      <c r="X3" s="125"/>
      <c r="Y3" s="126"/>
      <c r="Z3" s="127">
        <v>0</v>
      </c>
      <c r="AA3" s="128">
        <v>0</v>
      </c>
      <c r="AB3" s="129">
        <f t="shared" ref="AB3:AB42" si="1">AA3+H3</f>
        <v>0</v>
      </c>
      <c r="AC3" s="130"/>
      <c r="AD3" s="131" t="str">
        <f t="shared" ref="AD3:AD107" si="2">C3</f>
        <v>eShotLink</v>
      </c>
      <c r="AE3" s="132"/>
      <c r="AF3" s="133" t="e">
        <f t="shared" ref="AF3:AF6" si="3">Y3/$Y$130</f>
        <v>#DIV/0!</v>
      </c>
      <c r="AG3" s="134"/>
      <c r="AH3" s="135"/>
      <c r="AI3" s="68"/>
      <c r="AJ3" s="65"/>
      <c r="AK3" s="136"/>
      <c r="AL3" s="136"/>
      <c r="AM3" s="135"/>
      <c r="AN3" s="137"/>
      <c r="AO3" s="65"/>
      <c r="AP3" s="136"/>
      <c r="AQ3" s="136"/>
      <c r="AR3" s="135"/>
      <c r="AS3" s="137"/>
      <c r="AT3" s="65"/>
      <c r="AU3" s="136"/>
      <c r="AV3" s="136"/>
      <c r="AW3" s="135"/>
      <c r="AX3" s="68"/>
      <c r="AY3" s="65"/>
      <c r="AZ3" s="136"/>
      <c r="BA3" s="138"/>
      <c r="BB3" s="135"/>
      <c r="BC3" s="65"/>
      <c r="BD3" s="65"/>
      <c r="BE3" s="120"/>
      <c r="BF3" s="120"/>
      <c r="BG3" s="123"/>
      <c r="BH3" s="121"/>
      <c r="BI3" s="125"/>
      <c r="BJ3" s="139"/>
      <c r="BK3" s="125"/>
      <c r="BL3" s="140"/>
      <c r="BM3" s="125"/>
      <c r="BN3" s="125"/>
      <c r="BO3" s="139"/>
      <c r="BP3" s="125"/>
      <c r="BQ3" s="140"/>
      <c r="BR3" s="125"/>
      <c r="BS3" s="125"/>
      <c r="BT3" s="139"/>
      <c r="BU3" s="125"/>
      <c r="BV3" s="140"/>
      <c r="BW3" s="125"/>
      <c r="BX3" s="125"/>
      <c r="BY3" s="141" t="e">
        <f t="shared" ref="BY3:BY22" si="4">G3+J3</f>
        <v>#VALUE!</v>
      </c>
      <c r="BZ3" s="142"/>
      <c r="CA3" s="143" t="s">
        <v>177</v>
      </c>
    </row>
    <row r="4" ht="15.75" customHeight="1" spans="1:79" x14ac:dyDescent="0.25">
      <c r="A4" s="115">
        <f t="shared" ref="A4:A5" si="5">IF(C4="","",A3+1)</f>
        <v>2</v>
      </c>
      <c r="B4" s="116" t="s">
        <v>181</v>
      </c>
      <c r="C4" s="117" t="s">
        <v>182</v>
      </c>
      <c r="D4" s="118" t="s">
        <v>183</v>
      </c>
      <c r="E4" s="118" t="s">
        <v>179</v>
      </c>
      <c r="F4" s="118" t="s">
        <v>180</v>
      </c>
      <c r="G4" s="117" t="str">
        <f t="shared" si="0"/>
        <v>QSOFT_Bluefire AI</v>
      </c>
      <c r="H4" s="119"/>
      <c r="I4" s="144"/>
      <c r="J4" s="145">
        <v>36467500</v>
      </c>
      <c r="K4" s="122"/>
      <c r="L4" s="146">
        <v>36467500</v>
      </c>
      <c r="M4" s="147"/>
      <c r="N4" s="145">
        <v>18937500</v>
      </c>
      <c r="O4" s="124"/>
      <c r="P4" s="125">
        <v>18937500</v>
      </c>
      <c r="Q4" s="125">
        <v>17530000</v>
      </c>
      <c r="R4" s="148">
        <v>0.4807</v>
      </c>
      <c r="S4" s="125"/>
      <c r="T4" s="125">
        <v>27147149</v>
      </c>
      <c r="U4" s="125"/>
      <c r="V4" s="125">
        <v>27147149</v>
      </c>
      <c r="W4" s="125"/>
      <c r="X4" s="125">
        <v>17034000</v>
      </c>
      <c r="Y4" s="126"/>
      <c r="Z4" s="127">
        <v>17034000</v>
      </c>
      <c r="AA4" s="128">
        <v>10113149</v>
      </c>
      <c r="AB4" s="129">
        <f t="shared" si="1"/>
        <v>10113149</v>
      </c>
      <c r="AC4" s="130"/>
      <c r="AD4" s="131" t="str">
        <f t="shared" si="2"/>
        <v>Bluefire AI</v>
      </c>
      <c r="AE4" s="132"/>
      <c r="AF4" s="133" t="e">
        <f t="shared" si="3"/>
        <v>#DIV/0!</v>
      </c>
      <c r="AG4" s="136"/>
      <c r="AH4" s="135"/>
      <c r="AI4" s="68"/>
      <c r="AJ4" s="65"/>
      <c r="AK4" s="136"/>
      <c r="AL4" s="136"/>
      <c r="AM4" s="135"/>
      <c r="AN4" s="137"/>
      <c r="AO4" s="65"/>
      <c r="AP4" s="136"/>
      <c r="AQ4" s="136"/>
      <c r="AR4" s="135"/>
      <c r="AS4" s="137"/>
      <c r="AT4" s="65"/>
      <c r="AU4" s="136"/>
      <c r="AV4" s="136"/>
      <c r="AW4" s="135"/>
      <c r="AX4" s="68"/>
      <c r="AY4" s="65"/>
      <c r="AZ4" s="136"/>
      <c r="BA4" s="138"/>
      <c r="BB4" s="135"/>
      <c r="BC4" s="65"/>
      <c r="BD4" s="65"/>
      <c r="BE4" s="120"/>
      <c r="BF4" s="120"/>
      <c r="BG4" s="123"/>
      <c r="BH4" s="121"/>
      <c r="BI4" s="125"/>
      <c r="BJ4" s="139"/>
      <c r="BK4" s="125"/>
      <c r="BL4" s="140"/>
      <c r="BM4" s="125"/>
      <c r="BN4" s="125"/>
      <c r="BO4" s="139"/>
      <c r="BP4" s="125"/>
      <c r="BQ4" s="140"/>
      <c r="BR4" s="125"/>
      <c r="BS4" s="125"/>
      <c r="BT4" s="139"/>
      <c r="BU4" s="149"/>
      <c r="BV4" s="140"/>
      <c r="BW4" s="125"/>
      <c r="BX4" s="125"/>
      <c r="BY4" s="141" t="e">
        <f t="shared" si="4"/>
        <v>#VALUE!</v>
      </c>
      <c r="BZ4" s="142"/>
      <c r="CA4" s="143" t="s">
        <v>182</v>
      </c>
    </row>
    <row r="5" ht="15.75" customHeight="1" spans="1:79" x14ac:dyDescent="0.25">
      <c r="A5" s="115">
        <f t="shared" si="5"/>
        <v>3</v>
      </c>
      <c r="B5" s="117"/>
      <c r="C5" s="117" t="s">
        <v>184</v>
      </c>
      <c r="D5" s="118" t="s">
        <v>178</v>
      </c>
      <c r="E5" s="118" t="s">
        <v>179</v>
      </c>
      <c r="F5" s="118" t="s">
        <v>180</v>
      </c>
      <c r="G5" s="117" t="str">
        <f t="shared" si="0"/>
        <v>_ITOP Sensorflow</v>
      </c>
      <c r="H5" s="119"/>
      <c r="I5" s="150"/>
      <c r="J5" s="145"/>
      <c r="K5" s="122"/>
      <c r="L5" s="146">
        <v>0</v>
      </c>
      <c r="M5" s="146"/>
      <c r="N5" s="145"/>
      <c r="O5" s="124">
        <v>0</v>
      </c>
      <c r="P5" s="125">
        <v>0</v>
      </c>
      <c r="Q5" s="125">
        <v>0</v>
      </c>
      <c r="R5" s="125"/>
      <c r="S5" s="125"/>
      <c r="T5" s="125"/>
      <c r="U5" s="125"/>
      <c r="V5" s="125">
        <v>0</v>
      </c>
      <c r="W5" s="125"/>
      <c r="X5" s="125"/>
      <c r="Y5" s="126"/>
      <c r="Z5" s="127">
        <v>0</v>
      </c>
      <c r="AA5" s="128">
        <v>0</v>
      </c>
      <c r="AB5" s="129">
        <f t="shared" si="1"/>
        <v>0</v>
      </c>
      <c r="AC5" s="130"/>
      <c r="AD5" s="131" t="str">
        <f t="shared" si="2"/>
        <v>ITOP Sensorflow</v>
      </c>
      <c r="AE5" s="132"/>
      <c r="AF5" s="133" t="e">
        <f t="shared" si="3"/>
        <v>#DIV/0!</v>
      </c>
      <c r="AG5" s="136"/>
      <c r="AH5" s="135"/>
      <c r="AI5" s="68"/>
      <c r="AJ5" s="65"/>
      <c r="AK5" s="136"/>
      <c r="AL5" s="136"/>
      <c r="AM5" s="135"/>
      <c r="AN5" s="137"/>
      <c r="AO5" s="65"/>
      <c r="AP5" s="136"/>
      <c r="AQ5" s="136"/>
      <c r="AR5" s="135"/>
      <c r="AS5" s="137"/>
      <c r="AT5" s="65"/>
      <c r="AU5" s="136"/>
      <c r="AV5" s="136"/>
      <c r="AW5" s="135"/>
      <c r="AX5" s="68"/>
      <c r="AY5" s="65"/>
      <c r="AZ5" s="136"/>
      <c r="BA5" s="138"/>
      <c r="BB5" s="135"/>
      <c r="BC5" s="65"/>
      <c r="BD5" s="65"/>
      <c r="BE5" s="120"/>
      <c r="BF5" s="120"/>
      <c r="BG5" s="123"/>
      <c r="BH5" s="121"/>
      <c r="BI5" s="125"/>
      <c r="BJ5" s="139"/>
      <c r="BK5" s="125"/>
      <c r="BL5" s="140"/>
      <c r="BM5" s="125"/>
      <c r="BN5" s="125"/>
      <c r="BO5" s="139"/>
      <c r="BP5" s="125"/>
      <c r="BQ5" s="140"/>
      <c r="BR5" s="125"/>
      <c r="BS5" s="125"/>
      <c r="BT5" s="139"/>
      <c r="BU5" s="149"/>
      <c r="BV5" s="140"/>
      <c r="BW5" s="125"/>
      <c r="BX5" s="125"/>
      <c r="BY5" s="141" t="e">
        <f t="shared" si="4"/>
        <v>#VALUE!</v>
      </c>
      <c r="BZ5" s="142"/>
      <c r="CA5" s="143" t="s">
        <v>184</v>
      </c>
    </row>
    <row r="6" ht="15.75" customHeight="1" spans="1:79" x14ac:dyDescent="0.25">
      <c r="A6" s="115">
        <v>2</v>
      </c>
      <c r="B6" s="118"/>
      <c r="C6" s="118" t="s">
        <v>185</v>
      </c>
      <c r="D6" s="118" t="s">
        <v>178</v>
      </c>
      <c r="E6" s="118" t="s">
        <v>179</v>
      </c>
      <c r="F6" s="118" t="s">
        <v>180</v>
      </c>
      <c r="G6" s="117" t="str">
        <f t="shared" si="0"/>
        <v>_ITOP Intribe </v>
      </c>
      <c r="H6" s="119"/>
      <c r="I6" s="150"/>
      <c r="J6" s="145"/>
      <c r="K6" s="122"/>
      <c r="L6" s="146">
        <v>0</v>
      </c>
      <c r="M6" s="146"/>
      <c r="N6" s="145"/>
      <c r="O6" s="124">
        <v>0</v>
      </c>
      <c r="P6" s="125">
        <v>0</v>
      </c>
      <c r="Q6" s="125">
        <v>0</v>
      </c>
      <c r="R6" s="125"/>
      <c r="S6" s="125"/>
      <c r="T6" s="125"/>
      <c r="U6" s="125"/>
      <c r="V6" s="125">
        <v>0</v>
      </c>
      <c r="W6" s="125"/>
      <c r="X6" s="125"/>
      <c r="Y6" s="126"/>
      <c r="Z6" s="127">
        <v>0</v>
      </c>
      <c r="AA6" s="128">
        <v>0</v>
      </c>
      <c r="AB6" s="129">
        <f t="shared" si="1"/>
        <v>0</v>
      </c>
      <c r="AC6" s="130"/>
      <c r="AD6" s="131" t="str">
        <f t="shared" si="2"/>
        <v>ITOP Intribe </v>
      </c>
      <c r="AE6" s="132"/>
      <c r="AF6" s="133" t="e">
        <f t="shared" si="3"/>
        <v>#DIV/0!</v>
      </c>
      <c r="AG6" s="136"/>
      <c r="AH6" s="135"/>
      <c r="AI6" s="135"/>
      <c r="AJ6" s="65"/>
      <c r="AK6" s="136"/>
      <c r="AL6" s="136"/>
      <c r="AM6" s="135"/>
      <c r="AN6" s="137"/>
      <c r="AO6" s="65"/>
      <c r="AP6" s="136"/>
      <c r="AQ6" s="136"/>
      <c r="AR6" s="135"/>
      <c r="AS6" s="137"/>
      <c r="AT6" s="65"/>
      <c r="AU6" s="136"/>
      <c r="AV6" s="136"/>
      <c r="AW6" s="135"/>
      <c r="AX6" s="68"/>
      <c r="AY6" s="65"/>
      <c r="AZ6" s="136"/>
      <c r="BA6" s="138"/>
      <c r="BB6" s="135"/>
      <c r="BC6" s="65"/>
      <c r="BD6" s="65"/>
      <c r="BE6" s="120"/>
      <c r="BF6" s="120"/>
      <c r="BG6" s="123"/>
      <c r="BH6" s="121"/>
      <c r="BI6" s="125"/>
      <c r="BJ6" s="139"/>
      <c r="BK6" s="125"/>
      <c r="BL6" s="140"/>
      <c r="BM6" s="125"/>
      <c r="BN6" s="125"/>
      <c r="BO6" s="139"/>
      <c r="BP6" s="125"/>
      <c r="BQ6" s="140"/>
      <c r="BR6" s="125"/>
      <c r="BS6" s="125"/>
      <c r="BT6" s="139"/>
      <c r="BU6" s="149"/>
      <c r="BV6" s="140"/>
      <c r="BW6" s="125"/>
      <c r="BX6" s="125"/>
      <c r="BY6" s="141" t="e">
        <f t="shared" si="4"/>
        <v>#VALUE!</v>
      </c>
      <c r="BZ6" s="142"/>
      <c r="CA6" s="64" t="s">
        <v>185</v>
      </c>
    </row>
    <row r="7" ht="15.75" customHeight="1" spans="1:79" x14ac:dyDescent="0.25">
      <c r="A7" s="115">
        <f t="shared" ref="A7:A8" si="6">IF(C7="","",A6+1)</f>
        <v>3</v>
      </c>
      <c r="B7" s="118"/>
      <c r="C7" s="118" t="s">
        <v>186</v>
      </c>
      <c r="D7" s="118" t="s">
        <v>178</v>
      </c>
      <c r="E7" s="118" t="s">
        <v>179</v>
      </c>
      <c r="F7" s="118" t="s">
        <v>180</v>
      </c>
      <c r="G7" s="117" t="str">
        <f t="shared" si="0"/>
        <v>_ITOP Arcanum</v>
      </c>
      <c r="H7" s="119"/>
      <c r="I7" s="150"/>
      <c r="J7" s="145"/>
      <c r="K7" s="122"/>
      <c r="L7" s="146">
        <v>0</v>
      </c>
      <c r="M7" s="146"/>
      <c r="N7" s="145"/>
      <c r="O7" s="124">
        <v>0</v>
      </c>
      <c r="P7" s="125">
        <v>0</v>
      </c>
      <c r="Q7" s="125">
        <v>0</v>
      </c>
      <c r="R7" s="125"/>
      <c r="S7" s="125"/>
      <c r="T7" s="125"/>
      <c r="U7" s="125"/>
      <c r="V7" s="125">
        <v>0</v>
      </c>
      <c r="W7" s="125"/>
      <c r="X7" s="125"/>
      <c r="Y7" s="126"/>
      <c r="Z7" s="127">
        <v>0</v>
      </c>
      <c r="AA7" s="128">
        <v>0</v>
      </c>
      <c r="AB7" s="129">
        <f t="shared" si="1"/>
        <v>0</v>
      </c>
      <c r="AC7" s="130"/>
      <c r="AD7" s="131" t="str">
        <f t="shared" si="2"/>
        <v>ITOP Arcanum</v>
      </c>
      <c r="AE7" s="132"/>
      <c r="AF7" s="132"/>
      <c r="AG7" s="136"/>
      <c r="AH7" s="135"/>
      <c r="AI7" s="135"/>
      <c r="AJ7" s="65"/>
      <c r="AK7" s="136"/>
      <c r="AL7" s="136"/>
      <c r="AM7" s="135"/>
      <c r="AN7" s="137"/>
      <c r="AO7" s="65"/>
      <c r="AP7" s="136"/>
      <c r="AQ7" s="136"/>
      <c r="AR7" s="135"/>
      <c r="AS7" s="137"/>
      <c r="AT7" s="65"/>
      <c r="AU7" s="136"/>
      <c r="AV7" s="136"/>
      <c r="AW7" s="135"/>
      <c r="AX7" s="68"/>
      <c r="AY7" s="65"/>
      <c r="AZ7" s="136"/>
      <c r="BA7" s="138"/>
      <c r="BB7" s="135"/>
      <c r="BC7" s="65"/>
      <c r="BD7" s="65"/>
      <c r="BE7" s="120"/>
      <c r="BF7" s="120"/>
      <c r="BG7" s="123"/>
      <c r="BH7" s="121"/>
      <c r="BI7" s="125"/>
      <c r="BJ7" s="139"/>
      <c r="BK7" s="125"/>
      <c r="BL7" s="140"/>
      <c r="BM7" s="125"/>
      <c r="BN7" s="125"/>
      <c r="BO7" s="139"/>
      <c r="BP7" s="125"/>
      <c r="BQ7" s="140"/>
      <c r="BR7" s="125"/>
      <c r="BS7" s="125"/>
      <c r="BT7" s="139"/>
      <c r="BU7" s="149"/>
      <c r="BV7" s="140"/>
      <c r="BW7" s="125"/>
      <c r="BX7" s="125"/>
      <c r="BY7" s="141" t="e">
        <f t="shared" si="4"/>
        <v>#VALUE!</v>
      </c>
      <c r="BZ7" s="142"/>
      <c r="CA7" s="64" t="s">
        <v>186</v>
      </c>
    </row>
    <row r="8" ht="15.75" customHeight="1" spans="1:79" x14ac:dyDescent="0.25">
      <c r="A8" s="115">
        <f t="shared" si="6"/>
        <v>4</v>
      </c>
      <c r="B8" s="116" t="s">
        <v>181</v>
      </c>
      <c r="C8" s="118" t="s">
        <v>187</v>
      </c>
      <c r="D8" s="118" t="s">
        <v>183</v>
      </c>
      <c r="E8" s="118" t="s">
        <v>179</v>
      </c>
      <c r="F8" s="118" t="s">
        <v>180</v>
      </c>
      <c r="G8" s="117" t="str">
        <f t="shared" si="0"/>
        <v>QSOFT_Chocolate</v>
      </c>
      <c r="H8" s="119"/>
      <c r="I8" s="144">
        <v>147641943</v>
      </c>
      <c r="J8" s="145">
        <v>351071139</v>
      </c>
      <c r="K8" s="122"/>
      <c r="L8" s="147">
        <v>498713082</v>
      </c>
      <c r="M8" s="147">
        <v>85153193</v>
      </c>
      <c r="N8" s="145">
        <v>243635500</v>
      </c>
      <c r="O8" s="124"/>
      <c r="P8" s="125">
        <v>328788693</v>
      </c>
      <c r="Q8" s="125">
        <v>169924389</v>
      </c>
      <c r="R8" s="148">
        <v>0.3407</v>
      </c>
      <c r="S8" s="125">
        <v>115141365</v>
      </c>
      <c r="T8" s="125">
        <v>263982649</v>
      </c>
      <c r="U8" s="125"/>
      <c r="V8" s="125">
        <v>379124014</v>
      </c>
      <c r="W8" s="125">
        <v>82433201</v>
      </c>
      <c r="X8" s="125">
        <v>182199348</v>
      </c>
      <c r="Y8" s="126"/>
      <c r="Z8" s="127">
        <v>264632549</v>
      </c>
      <c r="AA8" s="128">
        <v>114491465</v>
      </c>
      <c r="AB8" s="129">
        <f t="shared" si="1"/>
        <v>114491465</v>
      </c>
      <c r="AC8" s="130"/>
      <c r="AD8" s="131" t="str">
        <f t="shared" si="2"/>
        <v>Chocolate</v>
      </c>
      <c r="AE8" s="132"/>
      <c r="AF8" s="133" t="e">
        <f t="shared" ref="AF8:AF9" si="7">Y8/$Y$130</f>
        <v>#DIV/0!</v>
      </c>
      <c r="AG8" s="136"/>
      <c r="AH8" s="135"/>
      <c r="AI8" s="68"/>
      <c r="AJ8" s="65"/>
      <c r="AK8" s="136"/>
      <c r="AL8" s="136"/>
      <c r="AM8" s="135"/>
      <c r="AN8" s="137"/>
      <c r="AO8" s="65"/>
      <c r="AP8" s="136"/>
      <c r="AQ8" s="136"/>
      <c r="AR8" s="135"/>
      <c r="AS8" s="137"/>
      <c r="AT8" s="65"/>
      <c r="AU8" s="136"/>
      <c r="AV8" s="136"/>
      <c r="AW8" s="135"/>
      <c r="AX8" s="68"/>
      <c r="AY8" s="65"/>
      <c r="AZ8" s="136"/>
      <c r="BA8" s="138"/>
      <c r="BB8" s="135"/>
      <c r="BC8" s="65"/>
      <c r="BD8" s="65"/>
      <c r="BE8" s="151"/>
      <c r="BF8" s="120"/>
      <c r="BG8" s="123"/>
      <c r="BH8" s="121"/>
      <c r="BI8" s="125"/>
      <c r="BJ8" s="139"/>
      <c r="BK8" s="125"/>
      <c r="BL8" s="140"/>
      <c r="BM8" s="125"/>
      <c r="BN8" s="125"/>
      <c r="BO8" s="139"/>
      <c r="BP8" s="125"/>
      <c r="BQ8" s="140"/>
      <c r="BR8" s="125"/>
      <c r="BS8" s="125"/>
      <c r="BT8" s="139"/>
      <c r="BU8" s="149"/>
      <c r="BV8" s="140"/>
      <c r="BW8" s="125"/>
      <c r="BX8" s="125"/>
      <c r="BY8" s="141" t="e">
        <f t="shared" si="4"/>
        <v>#VALUE!</v>
      </c>
      <c r="BZ8" s="142"/>
      <c r="CA8" s="64" t="s">
        <v>187</v>
      </c>
    </row>
    <row r="9" ht="15.75" customHeight="1" spans="1:79" x14ac:dyDescent="0.25">
      <c r="A9" s="115">
        <v>3</v>
      </c>
      <c r="B9" s="116" t="s">
        <v>188</v>
      </c>
      <c r="C9" s="117" t="s">
        <v>189</v>
      </c>
      <c r="D9" s="118" t="s">
        <v>183</v>
      </c>
      <c r="E9" s="118" t="s">
        <v>179</v>
      </c>
      <c r="F9" s="118" t="s">
        <v>180</v>
      </c>
      <c r="G9" s="117" t="str">
        <f t="shared" si="0"/>
        <v>VITEX_Vitex</v>
      </c>
      <c r="H9" s="119"/>
      <c r="I9" s="144"/>
      <c r="J9" s="145">
        <v>35000000</v>
      </c>
      <c r="K9" s="122"/>
      <c r="L9" s="146">
        <v>35000000</v>
      </c>
      <c r="M9" s="147"/>
      <c r="N9" s="145">
        <v>22000000</v>
      </c>
      <c r="O9" s="124"/>
      <c r="P9" s="125">
        <v>22000000</v>
      </c>
      <c r="Q9" s="125">
        <v>13000000</v>
      </c>
      <c r="R9" s="148">
        <v>0.3714</v>
      </c>
      <c r="S9" s="125"/>
      <c r="T9" s="125">
        <v>25870000</v>
      </c>
      <c r="U9" s="125"/>
      <c r="V9" s="125">
        <v>25870000</v>
      </c>
      <c r="W9" s="125"/>
      <c r="X9" s="125">
        <v>17000000</v>
      </c>
      <c r="Y9" s="126"/>
      <c r="Z9" s="127">
        <v>17000000</v>
      </c>
      <c r="AA9" s="128">
        <v>8870000</v>
      </c>
      <c r="AB9" s="129">
        <f t="shared" si="1"/>
        <v>8870000</v>
      </c>
      <c r="AC9" s="130"/>
      <c r="AD9" s="131" t="str">
        <f t="shared" si="2"/>
        <v>Vitex</v>
      </c>
      <c r="AE9" s="132"/>
      <c r="AF9" s="133" t="e">
        <f t="shared" si="7"/>
        <v>#DIV/0!</v>
      </c>
      <c r="AG9" s="136"/>
      <c r="AH9" s="135"/>
      <c r="AI9" s="68"/>
      <c r="AJ9" s="65"/>
      <c r="AK9" s="136"/>
      <c r="AL9" s="136"/>
      <c r="AM9" s="135"/>
      <c r="AN9" s="137"/>
      <c r="AO9" s="65"/>
      <c r="AP9" s="136"/>
      <c r="AQ9" s="136"/>
      <c r="AR9" s="135"/>
      <c r="AS9" s="137"/>
      <c r="AT9" s="65"/>
      <c r="AU9" s="136"/>
      <c r="AV9" s="136"/>
      <c r="AW9" s="135"/>
      <c r="AX9" s="68"/>
      <c r="AY9" s="65"/>
      <c r="AZ9" s="136"/>
      <c r="BA9" s="138"/>
      <c r="BB9" s="135"/>
      <c r="BC9" s="65"/>
      <c r="BD9" s="65"/>
      <c r="BE9" s="120"/>
      <c r="BF9" s="120"/>
      <c r="BG9" s="123"/>
      <c r="BH9" s="121"/>
      <c r="BI9" s="125"/>
      <c r="BJ9" s="139"/>
      <c r="BK9" s="125"/>
      <c r="BL9" s="140"/>
      <c r="BM9" s="125"/>
      <c r="BN9" s="125"/>
      <c r="BO9" s="139"/>
      <c r="BP9" s="125"/>
      <c r="BQ9" s="140"/>
      <c r="BR9" s="125"/>
      <c r="BS9" s="125"/>
      <c r="BT9" s="139"/>
      <c r="BU9" s="149"/>
      <c r="BV9" s="140"/>
      <c r="BW9" s="125"/>
      <c r="BX9" s="125"/>
      <c r="BY9" s="141" t="e">
        <f t="shared" si="4"/>
        <v>#VALUE!</v>
      </c>
      <c r="BZ9" s="142"/>
      <c r="CA9" s="143" t="s">
        <v>189</v>
      </c>
    </row>
    <row r="10" ht="15.75" customHeight="1" spans="1:79" x14ac:dyDescent="0.25">
      <c r="A10" s="115">
        <f t="shared" ref="A10:A11" si="8">IF(C10="","",A9+1)</f>
        <v>4</v>
      </c>
      <c r="B10" s="116" t="s">
        <v>188</v>
      </c>
      <c r="C10" s="118" t="s">
        <v>190</v>
      </c>
      <c r="D10" s="118" t="s">
        <v>178</v>
      </c>
      <c r="E10" s="118" t="s">
        <v>179</v>
      </c>
      <c r="F10" s="118" t="s">
        <v>191</v>
      </c>
      <c r="G10" s="117" t="str">
        <f t="shared" si="0"/>
        <v>VITEX_MGH</v>
      </c>
      <c r="H10" s="119"/>
      <c r="I10" s="144">
        <v>31564000</v>
      </c>
      <c r="J10" s="145"/>
      <c r="K10" s="122"/>
      <c r="L10" s="147">
        <v>31564000</v>
      </c>
      <c r="M10" s="146">
        <v>0</v>
      </c>
      <c r="N10" s="145"/>
      <c r="O10" s="124"/>
      <c r="P10" s="125">
        <v>0</v>
      </c>
      <c r="Q10" s="125">
        <v>31564000</v>
      </c>
      <c r="R10" s="148">
        <v>1</v>
      </c>
      <c r="S10" s="125">
        <v>0</v>
      </c>
      <c r="T10" s="125"/>
      <c r="U10" s="125"/>
      <c r="V10" s="125">
        <v>0</v>
      </c>
      <c r="W10" s="125"/>
      <c r="X10" s="125"/>
      <c r="Y10" s="126"/>
      <c r="Z10" s="127">
        <v>0</v>
      </c>
      <c r="AA10" s="128">
        <v>0</v>
      </c>
      <c r="AB10" s="129">
        <f t="shared" si="1"/>
        <v>0</v>
      </c>
      <c r="AC10" s="130"/>
      <c r="AD10" s="131" t="str">
        <f t="shared" si="2"/>
        <v>MGH</v>
      </c>
      <c r="AE10" s="132"/>
      <c r="AF10" s="132"/>
      <c r="AG10" s="136"/>
      <c r="AH10" s="135"/>
      <c r="AI10" s="68"/>
      <c r="AJ10" s="65"/>
      <c r="AK10" s="136"/>
      <c r="AL10" s="152"/>
      <c r="AM10" s="135"/>
      <c r="AN10" s="137"/>
      <c r="AO10" s="65"/>
      <c r="AP10" s="136"/>
      <c r="AQ10" s="152"/>
      <c r="AR10" s="135"/>
      <c r="AS10" s="137"/>
      <c r="AT10" s="65"/>
      <c r="AU10" s="136"/>
      <c r="AV10" s="136"/>
      <c r="AW10" s="135"/>
      <c r="AX10" s="68"/>
      <c r="AY10" s="65"/>
      <c r="AZ10" s="136"/>
      <c r="BA10" s="138"/>
      <c r="BB10" s="135"/>
      <c r="BC10" s="65"/>
      <c r="BD10" s="65"/>
      <c r="BE10" s="120"/>
      <c r="BF10" s="120"/>
      <c r="BG10" s="123"/>
      <c r="BH10" s="121"/>
      <c r="BI10" s="125"/>
      <c r="BJ10" s="139"/>
      <c r="BK10" s="125"/>
      <c r="BL10" s="140"/>
      <c r="BM10" s="125"/>
      <c r="BN10" s="125"/>
      <c r="BO10" s="139"/>
      <c r="BP10" s="125"/>
      <c r="BQ10" s="140"/>
      <c r="BR10" s="125"/>
      <c r="BS10" s="125"/>
      <c r="BT10" s="139"/>
      <c r="BU10" s="149"/>
      <c r="BV10" s="140"/>
      <c r="BW10" s="125"/>
      <c r="BX10" s="125"/>
      <c r="BY10" s="141" t="e">
        <f t="shared" si="4"/>
        <v>#VALUE!</v>
      </c>
      <c r="BZ10" s="142"/>
      <c r="CA10" s="64" t="s">
        <v>190</v>
      </c>
    </row>
    <row r="11" ht="15.75" customHeight="1" spans="1:79" x14ac:dyDescent="0.25">
      <c r="A11" s="115">
        <f t="shared" si="8"/>
        <v>5</v>
      </c>
      <c r="B11" s="116" t="s">
        <v>188</v>
      </c>
      <c r="C11" s="118" t="s">
        <v>192</v>
      </c>
      <c r="D11" s="118" t="s">
        <v>183</v>
      </c>
      <c r="E11" s="118" t="s">
        <v>179</v>
      </c>
      <c r="F11" s="118" t="s">
        <v>180</v>
      </c>
      <c r="G11" s="117" t="str">
        <f t="shared" si="0"/>
        <v>VITEX_Xlinq</v>
      </c>
      <c r="H11" s="119"/>
      <c r="I11" s="144"/>
      <c r="J11" s="145">
        <v>75000000</v>
      </c>
      <c r="K11" s="122"/>
      <c r="L11" s="146">
        <v>75000000</v>
      </c>
      <c r="M11" s="147"/>
      <c r="N11" s="145">
        <v>55556500</v>
      </c>
      <c r="O11" s="124"/>
      <c r="P11" s="125">
        <v>55556500</v>
      </c>
      <c r="Q11" s="125">
        <v>19443500</v>
      </c>
      <c r="R11" s="148">
        <v>0.2592</v>
      </c>
      <c r="S11" s="125"/>
      <c r="T11" s="125">
        <v>55434000</v>
      </c>
      <c r="U11" s="125"/>
      <c r="V11" s="125">
        <v>55434000</v>
      </c>
      <c r="W11" s="125"/>
      <c r="X11" s="125">
        <v>41063500</v>
      </c>
      <c r="Y11" s="126"/>
      <c r="Z11" s="127">
        <v>41063500</v>
      </c>
      <c r="AA11" s="128">
        <v>14370500</v>
      </c>
      <c r="AB11" s="129">
        <f t="shared" si="1"/>
        <v>14370500</v>
      </c>
      <c r="AC11" s="130"/>
      <c r="AD11" s="131" t="str">
        <f t="shared" si="2"/>
        <v>Xlinq</v>
      </c>
      <c r="AE11" s="132"/>
      <c r="AF11" s="132"/>
      <c r="AG11" s="136"/>
      <c r="AH11" s="135"/>
      <c r="AI11" s="68"/>
      <c r="AJ11" s="65"/>
      <c r="AK11" s="136"/>
      <c r="AL11" s="136"/>
      <c r="AM11" s="135"/>
      <c r="AN11" s="137"/>
      <c r="AO11" s="65"/>
      <c r="AP11" s="136"/>
      <c r="AQ11" s="136"/>
      <c r="AR11" s="135"/>
      <c r="AS11" s="137"/>
      <c r="AT11" s="65"/>
      <c r="AU11" s="136"/>
      <c r="AV11" s="136"/>
      <c r="AW11" s="135"/>
      <c r="AX11" s="68"/>
      <c r="AY11" s="65"/>
      <c r="AZ11" s="136"/>
      <c r="BA11" s="138"/>
      <c r="BB11" s="135"/>
      <c r="BC11" s="65"/>
      <c r="BD11" s="65"/>
      <c r="BE11" s="120"/>
      <c r="BF11" s="120"/>
      <c r="BG11" s="123"/>
      <c r="BH11" s="121"/>
      <c r="BI11" s="125"/>
      <c r="BJ11" s="139"/>
      <c r="BK11" s="125"/>
      <c r="BL11" s="140"/>
      <c r="BM11" s="125"/>
      <c r="BN11" s="125"/>
      <c r="BO11" s="139"/>
      <c r="BP11" s="125"/>
      <c r="BQ11" s="140"/>
      <c r="BR11" s="125"/>
      <c r="BS11" s="125"/>
      <c r="BT11" s="139"/>
      <c r="BU11" s="149"/>
      <c r="BV11" s="140"/>
      <c r="BW11" s="125"/>
      <c r="BX11" s="125"/>
      <c r="BY11" s="141" t="e">
        <f t="shared" si="4"/>
        <v>#VALUE!</v>
      </c>
      <c r="BZ11" s="142"/>
      <c r="CA11" s="64" t="s">
        <v>192</v>
      </c>
    </row>
    <row r="12" ht="15.75" customHeight="1" spans="1:79" x14ac:dyDescent="0.25">
      <c r="A12" s="115">
        <v>4</v>
      </c>
      <c r="B12" s="153" t="s">
        <v>193</v>
      </c>
      <c r="C12" s="118" t="s">
        <v>193</v>
      </c>
      <c r="D12" s="118" t="s">
        <v>183</v>
      </c>
      <c r="E12" s="118" t="s">
        <v>194</v>
      </c>
      <c r="F12" s="118" t="s">
        <v>191</v>
      </c>
      <c r="G12" s="117" t="str">
        <f t="shared" si="0"/>
        <v>MintedGEM_MintedGEM</v>
      </c>
      <c r="H12" s="119"/>
      <c r="I12" s="150"/>
      <c r="J12" s="145"/>
      <c r="K12" s="122"/>
      <c r="L12" s="147">
        <v>0</v>
      </c>
      <c r="M12" s="146"/>
      <c r="N12" s="145"/>
      <c r="O12" s="124">
        <v>1467909</v>
      </c>
      <c r="P12" s="154">
        <v>1467909</v>
      </c>
      <c r="Q12" s="154">
        <v>-1467909</v>
      </c>
      <c r="R12" s="154"/>
      <c r="S12" s="154"/>
      <c r="T12" s="154"/>
      <c r="U12" s="154"/>
      <c r="V12" s="154">
        <v>0</v>
      </c>
      <c r="W12" s="154"/>
      <c r="X12" s="154"/>
      <c r="Y12" s="126"/>
      <c r="Z12" s="127">
        <v>0</v>
      </c>
      <c r="AA12" s="154">
        <v>0</v>
      </c>
      <c r="AB12" s="155">
        <f t="shared" si="1"/>
        <v>0</v>
      </c>
      <c r="AC12" s="130"/>
      <c r="AD12" s="131" t="str">
        <f t="shared" si="2"/>
        <v>MintedGEM</v>
      </c>
      <c r="AE12" s="132"/>
      <c r="AF12" s="133" t="e">
        <f t="shared" ref="AF12:AF15" si="9">Y12/$Y$130</f>
        <v>#DIV/0!</v>
      </c>
      <c r="AG12" s="136"/>
      <c r="AH12" s="135"/>
      <c r="AI12" s="135"/>
      <c r="AJ12" s="65"/>
      <c r="AK12" s="136"/>
      <c r="AL12" s="136"/>
      <c r="AM12" s="135"/>
      <c r="AN12" s="137"/>
      <c r="AO12" s="65"/>
      <c r="AP12" s="136"/>
      <c r="AQ12" s="136"/>
      <c r="AR12" s="135"/>
      <c r="AS12" s="137"/>
      <c r="AT12" s="65"/>
      <c r="AU12" s="136"/>
      <c r="AV12" s="136"/>
      <c r="AW12" s="135"/>
      <c r="AX12" s="68"/>
      <c r="AY12" s="65"/>
      <c r="AZ12" s="136"/>
      <c r="BA12" s="138"/>
      <c r="BB12" s="135"/>
      <c r="BC12" s="65"/>
      <c r="BD12" s="65"/>
      <c r="BE12" s="120"/>
      <c r="BF12" s="120"/>
      <c r="BG12" s="123"/>
      <c r="BH12" s="121"/>
      <c r="BI12" s="125"/>
      <c r="BJ12" s="139"/>
      <c r="BK12" s="125"/>
      <c r="BL12" s="140"/>
      <c r="BM12" s="125"/>
      <c r="BN12" s="125"/>
      <c r="BO12" s="139"/>
      <c r="BP12" s="125"/>
      <c r="BQ12" s="140"/>
      <c r="BR12" s="125"/>
      <c r="BS12" s="125"/>
      <c r="BT12" s="139"/>
      <c r="BU12" s="149"/>
      <c r="BV12" s="140"/>
      <c r="BW12" s="125"/>
      <c r="BX12" s="125"/>
      <c r="BY12" s="141" t="e">
        <f t="shared" si="4"/>
        <v>#VALUE!</v>
      </c>
      <c r="BZ12" s="142"/>
      <c r="CA12" s="64" t="s">
        <v>193</v>
      </c>
    </row>
    <row r="13" ht="15.75" customHeight="1" spans="1:79" x14ac:dyDescent="0.25">
      <c r="A13" s="115">
        <f t="shared" ref="A13:A14" si="10">IF(C13="","",A12+1)</f>
        <v>5</v>
      </c>
      <c r="B13" s="153" t="s">
        <v>195</v>
      </c>
      <c r="C13" s="118" t="s">
        <v>196</v>
      </c>
      <c r="D13" s="118" t="s">
        <v>178</v>
      </c>
      <c r="E13" s="118" t="s">
        <v>194</v>
      </c>
      <c r="F13" s="118" t="s">
        <v>180</v>
      </c>
      <c r="G13" s="117" t="str">
        <f t="shared" si="0"/>
        <v>ICE_M&amp;A&amp;Stock Mobile app</v>
      </c>
      <c r="H13" s="119"/>
      <c r="I13" s="144">
        <v>36000000</v>
      </c>
      <c r="J13" s="145"/>
      <c r="K13" s="122"/>
      <c r="L13" s="147">
        <v>36000000</v>
      </c>
      <c r="M13" s="147">
        <v>31405864</v>
      </c>
      <c r="N13" s="145"/>
      <c r="O13" s="124"/>
      <c r="P13" s="154">
        <v>31405864</v>
      </c>
      <c r="Q13" s="154">
        <v>4594136</v>
      </c>
      <c r="R13" s="156">
        <v>0.1276</v>
      </c>
      <c r="S13" s="154"/>
      <c r="T13" s="154"/>
      <c r="U13" s="154"/>
      <c r="V13" s="154">
        <v>0</v>
      </c>
      <c r="W13" s="154"/>
      <c r="X13" s="154"/>
      <c r="Y13" s="126"/>
      <c r="Z13" s="127">
        <v>0</v>
      </c>
      <c r="AA13" s="154">
        <v>0</v>
      </c>
      <c r="AB13" s="155">
        <f t="shared" si="1"/>
        <v>0</v>
      </c>
      <c r="AC13" s="130"/>
      <c r="AD13" s="131" t="str">
        <f t="shared" si="2"/>
        <v>M&amp;A&amp;Stock Mobile app</v>
      </c>
      <c r="AE13" s="132"/>
      <c r="AF13" s="133" t="e">
        <f t="shared" si="9"/>
        <v>#DIV/0!</v>
      </c>
      <c r="AG13" s="136"/>
      <c r="AH13" s="135"/>
      <c r="AI13" s="68"/>
      <c r="AJ13" s="65"/>
      <c r="AK13" s="152"/>
      <c r="AL13" s="152"/>
      <c r="AM13" s="135"/>
      <c r="AN13" s="137"/>
      <c r="AO13" s="65"/>
      <c r="AP13" s="152"/>
      <c r="AQ13" s="152"/>
      <c r="AR13" s="135"/>
      <c r="AS13" s="137"/>
      <c r="AT13" s="65"/>
      <c r="AU13" s="136"/>
      <c r="AV13" s="136"/>
      <c r="AW13" s="135"/>
      <c r="AX13" s="68"/>
      <c r="AY13" s="65"/>
      <c r="AZ13" s="136"/>
      <c r="BA13" s="138"/>
      <c r="BB13" s="135"/>
      <c r="BC13" s="65"/>
      <c r="BD13" s="65"/>
      <c r="BE13" s="120"/>
      <c r="BF13" s="120"/>
      <c r="BG13" s="123"/>
      <c r="BH13" s="121"/>
      <c r="BI13" s="125"/>
      <c r="BJ13" s="139"/>
      <c r="BK13" s="125"/>
      <c r="BL13" s="140"/>
      <c r="BM13" s="125"/>
      <c r="BN13" s="125"/>
      <c r="BO13" s="139"/>
      <c r="BP13" s="125"/>
      <c r="BQ13" s="140"/>
      <c r="BR13" s="125"/>
      <c r="BS13" s="125"/>
      <c r="BT13" s="139"/>
      <c r="BU13" s="149"/>
      <c r="BV13" s="140"/>
      <c r="BW13" s="125"/>
      <c r="BX13" s="125"/>
      <c r="BY13" s="141" t="e">
        <f t="shared" si="4"/>
        <v>#VALUE!</v>
      </c>
      <c r="BZ13" s="142"/>
      <c r="CA13" s="64" t="s">
        <v>196</v>
      </c>
    </row>
    <row r="14" ht="15.75" customHeight="1" spans="1:79" x14ac:dyDescent="0.25">
      <c r="A14" s="115">
        <f t="shared" si="10"/>
        <v>6</v>
      </c>
      <c r="B14" s="153" t="s">
        <v>197</v>
      </c>
      <c r="C14" s="118" t="s">
        <v>197</v>
      </c>
      <c r="D14" s="118" t="s">
        <v>178</v>
      </c>
      <c r="E14" s="118" t="s">
        <v>194</v>
      </c>
      <c r="F14" s="118" t="s">
        <v>191</v>
      </c>
      <c r="G14" s="117" t="str">
        <f t="shared" si="0"/>
        <v>C2E_C2E</v>
      </c>
      <c r="H14" s="119"/>
      <c r="I14" s="150"/>
      <c r="J14" s="145"/>
      <c r="K14" s="122"/>
      <c r="L14" s="146">
        <v>0</v>
      </c>
      <c r="M14" s="146"/>
      <c r="N14" s="145"/>
      <c r="O14" s="124">
        <v>0</v>
      </c>
      <c r="P14" s="125">
        <v>0</v>
      </c>
      <c r="Q14" s="125">
        <v>0</v>
      </c>
      <c r="R14" s="125"/>
      <c r="S14" s="125"/>
      <c r="T14" s="125"/>
      <c r="U14" s="125"/>
      <c r="V14" s="125">
        <v>0</v>
      </c>
      <c r="W14" s="125"/>
      <c r="X14" s="125"/>
      <c r="Y14" s="126"/>
      <c r="Z14" s="127">
        <v>0</v>
      </c>
      <c r="AA14" s="128">
        <v>0</v>
      </c>
      <c r="AB14" s="129">
        <f t="shared" si="1"/>
        <v>0</v>
      </c>
      <c r="AC14" s="130"/>
      <c r="AD14" s="131" t="str">
        <f t="shared" si="2"/>
        <v>C2E</v>
      </c>
      <c r="AE14" s="132"/>
      <c r="AF14" s="133" t="e">
        <f t="shared" si="9"/>
        <v>#DIV/0!</v>
      </c>
      <c r="AG14" s="136"/>
      <c r="AH14" s="135"/>
      <c r="AI14" s="135"/>
      <c r="AJ14" s="65"/>
      <c r="AK14" s="136"/>
      <c r="AL14" s="136"/>
      <c r="AM14" s="135"/>
      <c r="AN14" s="137"/>
      <c r="AO14" s="65"/>
      <c r="AP14" s="152"/>
      <c r="AQ14" s="136"/>
      <c r="AR14" s="135"/>
      <c r="AS14" s="137"/>
      <c r="AT14" s="65"/>
      <c r="AU14" s="136"/>
      <c r="AV14" s="136"/>
      <c r="AW14" s="135"/>
      <c r="AX14" s="68"/>
      <c r="AY14" s="65"/>
      <c r="AZ14" s="136"/>
      <c r="BA14" s="138"/>
      <c r="BB14" s="135"/>
      <c r="BC14" s="65"/>
      <c r="BD14" s="65"/>
      <c r="BE14" s="120"/>
      <c r="BF14" s="120"/>
      <c r="BG14" s="123"/>
      <c r="BH14" s="121"/>
      <c r="BI14" s="125"/>
      <c r="BJ14" s="139"/>
      <c r="BK14" s="125"/>
      <c r="BL14" s="140"/>
      <c r="BM14" s="125"/>
      <c r="BN14" s="125"/>
      <c r="BO14" s="139"/>
      <c r="BP14" s="125"/>
      <c r="BQ14" s="140"/>
      <c r="BR14" s="125"/>
      <c r="BS14" s="125"/>
      <c r="BT14" s="139"/>
      <c r="BU14" s="149"/>
      <c r="BV14" s="140"/>
      <c r="BW14" s="125"/>
      <c r="BX14" s="125"/>
      <c r="BY14" s="141" t="e">
        <f t="shared" si="4"/>
        <v>#VALUE!</v>
      </c>
      <c r="BZ14" s="142"/>
      <c r="CA14" s="64" t="s">
        <v>197</v>
      </c>
    </row>
    <row r="15" ht="15.75" customHeight="1" spans="1:79" x14ac:dyDescent="0.25">
      <c r="A15" s="115">
        <v>5</v>
      </c>
      <c r="B15" s="153" t="s">
        <v>172</v>
      </c>
      <c r="C15" s="118" t="s">
        <v>198</v>
      </c>
      <c r="D15" s="118" t="s">
        <v>183</v>
      </c>
      <c r="E15" s="118"/>
      <c r="F15" s="118" t="s">
        <v>191</v>
      </c>
      <c r="G15" s="117" t="str">
        <f t="shared" si="0"/>
        <v>Inhouse_Blockchain nội bộ</v>
      </c>
      <c r="H15" s="119"/>
      <c r="I15" s="150"/>
      <c r="J15" s="145"/>
      <c r="K15" s="122"/>
      <c r="L15" s="146">
        <v>0</v>
      </c>
      <c r="M15" s="146"/>
      <c r="N15" s="145"/>
      <c r="O15" s="124">
        <v>9613549</v>
      </c>
      <c r="P15" s="125">
        <v>9613549</v>
      </c>
      <c r="Q15" s="125">
        <v>-9613549</v>
      </c>
      <c r="R15" s="125"/>
      <c r="S15" s="125"/>
      <c r="T15" s="125"/>
      <c r="U15" s="125"/>
      <c r="V15" s="125">
        <v>0</v>
      </c>
      <c r="W15" s="125"/>
      <c r="X15" s="125"/>
      <c r="Y15" s="126"/>
      <c r="Z15" s="127">
        <v>0</v>
      </c>
      <c r="AA15" s="128">
        <v>0</v>
      </c>
      <c r="AB15" s="129">
        <f t="shared" si="1"/>
        <v>0</v>
      </c>
      <c r="AC15" s="130"/>
      <c r="AD15" s="131" t="str">
        <f t="shared" si="2"/>
        <v>Blockchain nội bộ</v>
      </c>
      <c r="AE15" s="132"/>
      <c r="AF15" s="133" t="e">
        <f t="shared" si="9"/>
        <v>#DIV/0!</v>
      </c>
      <c r="AG15" s="152"/>
      <c r="AH15" s="135"/>
      <c r="AI15" s="135"/>
      <c r="AJ15" s="65"/>
      <c r="AK15" s="152"/>
      <c r="AL15" s="152"/>
      <c r="AM15" s="135"/>
      <c r="AN15" s="137"/>
      <c r="AO15" s="65"/>
      <c r="AP15" s="152"/>
      <c r="AQ15" s="152"/>
      <c r="AR15" s="135"/>
      <c r="AS15" s="137"/>
      <c r="AT15" s="65"/>
      <c r="AU15" s="136"/>
      <c r="AV15" s="136"/>
      <c r="AW15" s="135"/>
      <c r="AX15" s="68"/>
      <c r="AY15" s="65"/>
      <c r="AZ15" s="136"/>
      <c r="BA15" s="138"/>
      <c r="BB15" s="135"/>
      <c r="BC15" s="65"/>
      <c r="BD15" s="65"/>
      <c r="BE15" s="120"/>
      <c r="BF15" s="120"/>
      <c r="BG15" s="123"/>
      <c r="BH15" s="121"/>
      <c r="BI15" s="125"/>
      <c r="BJ15" s="139"/>
      <c r="BK15" s="125"/>
      <c r="BL15" s="140"/>
      <c r="BM15" s="125"/>
      <c r="BN15" s="125"/>
      <c r="BO15" s="139"/>
      <c r="BP15" s="125"/>
      <c r="BQ15" s="140"/>
      <c r="BR15" s="125"/>
      <c r="BS15" s="125"/>
      <c r="BT15" s="139"/>
      <c r="BU15" s="149"/>
      <c r="BV15" s="140"/>
      <c r="BW15" s="125"/>
      <c r="BX15" s="125"/>
      <c r="BY15" s="141" t="e">
        <f t="shared" si="4"/>
        <v>#VALUE!</v>
      </c>
      <c r="BZ15" s="142"/>
      <c r="CA15" s="64" t="s">
        <v>198</v>
      </c>
    </row>
    <row r="16" ht="15.75" customHeight="1" spans="1:79" x14ac:dyDescent="0.25">
      <c r="A16" s="115">
        <f t="shared" ref="A16:A17" si="11">IF(C16="","",A15+1)</f>
        <v>6</v>
      </c>
      <c r="B16" s="118"/>
      <c r="C16" s="118" t="s">
        <v>199</v>
      </c>
      <c r="D16" s="118" t="s">
        <v>183</v>
      </c>
      <c r="E16" s="118"/>
      <c r="F16" s="118" t="s">
        <v>191</v>
      </c>
      <c r="G16" s="117" t="str">
        <f t="shared" si="0"/>
        <v>_Internal NFT WhiteLabel</v>
      </c>
      <c r="H16" s="119"/>
      <c r="I16" s="150"/>
      <c r="J16" s="145"/>
      <c r="K16" s="122"/>
      <c r="L16" s="146">
        <v>0</v>
      </c>
      <c r="M16" s="146"/>
      <c r="N16" s="145"/>
      <c r="O16" s="124">
        <v>0</v>
      </c>
      <c r="P16" s="125">
        <v>0</v>
      </c>
      <c r="Q16" s="125">
        <v>0</v>
      </c>
      <c r="R16" s="125"/>
      <c r="S16" s="125"/>
      <c r="T16" s="125"/>
      <c r="U16" s="125"/>
      <c r="V16" s="125">
        <v>0</v>
      </c>
      <c r="W16" s="125"/>
      <c r="X16" s="125"/>
      <c r="Y16" s="126"/>
      <c r="Z16" s="127">
        <v>0</v>
      </c>
      <c r="AA16" s="128">
        <v>0</v>
      </c>
      <c r="AB16" s="129">
        <f t="shared" si="1"/>
        <v>0</v>
      </c>
      <c r="AC16" s="130"/>
      <c r="AD16" s="131" t="str">
        <f t="shared" si="2"/>
        <v>Internal NFT WhiteLabel</v>
      </c>
      <c r="AE16" s="132"/>
      <c r="AF16" s="132"/>
      <c r="AG16" s="152"/>
      <c r="AH16" s="135"/>
      <c r="AI16" s="135"/>
      <c r="AJ16" s="65"/>
      <c r="AK16" s="152"/>
      <c r="AL16" s="152"/>
      <c r="AM16" s="135"/>
      <c r="AN16" s="137"/>
      <c r="AO16" s="65"/>
      <c r="AP16" s="152"/>
      <c r="AQ16" s="152"/>
      <c r="AR16" s="135"/>
      <c r="AS16" s="137"/>
      <c r="AT16" s="65"/>
      <c r="AU16" s="136"/>
      <c r="AV16" s="136"/>
      <c r="AW16" s="135"/>
      <c r="AX16" s="68"/>
      <c r="AY16" s="65"/>
      <c r="AZ16" s="136"/>
      <c r="BA16" s="138"/>
      <c r="BB16" s="135"/>
      <c r="BC16" s="65"/>
      <c r="BD16" s="65"/>
      <c r="BE16" s="120"/>
      <c r="BF16" s="120"/>
      <c r="BG16" s="123"/>
      <c r="BH16" s="121"/>
      <c r="BI16" s="125"/>
      <c r="BJ16" s="139"/>
      <c r="BK16" s="125"/>
      <c r="BL16" s="140"/>
      <c r="BM16" s="125"/>
      <c r="BN16" s="125"/>
      <c r="BO16" s="139"/>
      <c r="BP16" s="125"/>
      <c r="BQ16" s="140"/>
      <c r="BR16" s="125"/>
      <c r="BS16" s="125"/>
      <c r="BT16" s="139"/>
      <c r="BU16" s="149"/>
      <c r="BV16" s="140"/>
      <c r="BW16" s="125"/>
      <c r="BX16" s="125"/>
      <c r="BY16" s="141" t="e">
        <f t="shared" si="4"/>
        <v>#VALUE!</v>
      </c>
      <c r="BZ16" s="142"/>
      <c r="CA16" s="64"/>
    </row>
    <row r="17" ht="15.75" customHeight="1" spans="1:79" x14ac:dyDescent="0.25">
      <c r="A17" s="115">
        <f t="shared" si="11"/>
        <v>7</v>
      </c>
      <c r="B17" s="118"/>
      <c r="C17" s="118" t="s">
        <v>200</v>
      </c>
      <c r="D17" s="118" t="s">
        <v>183</v>
      </c>
      <c r="E17" s="118"/>
      <c r="F17" s="118" t="s">
        <v>191</v>
      </c>
      <c r="G17" s="117" t="str">
        <f t="shared" si="0"/>
        <v>_ConnectX</v>
      </c>
      <c r="H17" s="119"/>
      <c r="I17" s="150"/>
      <c r="J17" s="145"/>
      <c r="K17" s="122"/>
      <c r="L17" s="146">
        <v>0</v>
      </c>
      <c r="M17" s="146"/>
      <c r="N17" s="145"/>
      <c r="O17" s="124">
        <v>5393093</v>
      </c>
      <c r="P17" s="125">
        <v>5393093</v>
      </c>
      <c r="Q17" s="125">
        <v>-5393093</v>
      </c>
      <c r="R17" s="125"/>
      <c r="S17" s="125"/>
      <c r="T17" s="125"/>
      <c r="U17" s="125"/>
      <c r="V17" s="125">
        <v>0</v>
      </c>
      <c r="W17" s="125"/>
      <c r="X17" s="125"/>
      <c r="Y17" s="126"/>
      <c r="Z17" s="127">
        <v>0</v>
      </c>
      <c r="AA17" s="128">
        <v>0</v>
      </c>
      <c r="AB17" s="129">
        <f t="shared" si="1"/>
        <v>0</v>
      </c>
      <c r="AC17" s="130"/>
      <c r="AD17" s="131" t="str">
        <f t="shared" si="2"/>
        <v>ConnectX</v>
      </c>
      <c r="AE17" s="132"/>
      <c r="AF17" s="132"/>
      <c r="AG17" s="152"/>
      <c r="AH17" s="135"/>
      <c r="AI17" s="135"/>
      <c r="AJ17" s="65"/>
      <c r="AK17" s="152"/>
      <c r="AL17" s="152"/>
      <c r="AM17" s="135"/>
      <c r="AN17" s="137"/>
      <c r="AO17" s="65"/>
      <c r="AP17" s="152"/>
      <c r="AQ17" s="152"/>
      <c r="AR17" s="135"/>
      <c r="AS17" s="137"/>
      <c r="AT17" s="65"/>
      <c r="AU17" s="136"/>
      <c r="AV17" s="136"/>
      <c r="AW17" s="135"/>
      <c r="AX17" s="68"/>
      <c r="AY17" s="65"/>
      <c r="AZ17" s="136"/>
      <c r="BA17" s="138"/>
      <c r="BB17" s="135"/>
      <c r="BC17" s="65"/>
      <c r="BD17" s="65"/>
      <c r="BE17" s="120"/>
      <c r="BF17" s="120"/>
      <c r="BG17" s="123"/>
      <c r="BH17" s="121"/>
      <c r="BI17" s="125"/>
      <c r="BJ17" s="139"/>
      <c r="BK17" s="125"/>
      <c r="BL17" s="140"/>
      <c r="BM17" s="125"/>
      <c r="BN17" s="125"/>
      <c r="BO17" s="139"/>
      <c r="BP17" s="125"/>
      <c r="BQ17" s="140"/>
      <c r="BR17" s="125"/>
      <c r="BS17" s="125"/>
      <c r="BT17" s="139"/>
      <c r="BU17" s="149"/>
      <c r="BV17" s="140"/>
      <c r="BW17" s="125"/>
      <c r="BX17" s="125"/>
      <c r="BY17" s="141" t="e">
        <f t="shared" si="4"/>
        <v>#VALUE!</v>
      </c>
      <c r="BZ17" s="142"/>
      <c r="CA17" s="64"/>
    </row>
    <row r="18" ht="15.75" customHeight="1" spans="1:79" x14ac:dyDescent="0.25">
      <c r="A18" s="115">
        <v>6</v>
      </c>
      <c r="B18" s="118"/>
      <c r="C18" s="118" t="s">
        <v>201</v>
      </c>
      <c r="D18" s="118" t="s">
        <v>183</v>
      </c>
      <c r="E18" s="118"/>
      <c r="F18" s="118" t="s">
        <v>180</v>
      </c>
      <c r="G18" s="117" t="str">
        <f t="shared" si="0"/>
        <v>_Sales support</v>
      </c>
      <c r="H18" s="119"/>
      <c r="I18" s="150"/>
      <c r="J18" s="145"/>
      <c r="K18" s="122"/>
      <c r="L18" s="146">
        <v>0</v>
      </c>
      <c r="M18" s="146"/>
      <c r="N18" s="145"/>
      <c r="O18" s="124">
        <v>26229818</v>
      </c>
      <c r="P18" s="125">
        <v>26229818</v>
      </c>
      <c r="Q18" s="125">
        <v>-26229818</v>
      </c>
      <c r="R18" s="125"/>
      <c r="S18" s="125"/>
      <c r="T18" s="125"/>
      <c r="U18" s="125"/>
      <c r="V18" s="125">
        <v>0</v>
      </c>
      <c r="W18" s="125"/>
      <c r="X18" s="125"/>
      <c r="Y18" s="126"/>
      <c r="Z18" s="127">
        <v>0</v>
      </c>
      <c r="AA18" s="128">
        <v>0</v>
      </c>
      <c r="AB18" s="129">
        <f t="shared" si="1"/>
        <v>0</v>
      </c>
      <c r="AC18" s="130"/>
      <c r="AD18" s="131" t="str">
        <f t="shared" si="2"/>
        <v>Sales support</v>
      </c>
      <c r="AE18" s="132"/>
      <c r="AF18" s="132"/>
      <c r="AG18" s="152"/>
      <c r="AH18" s="135"/>
      <c r="AI18" s="135"/>
      <c r="AJ18" s="65"/>
      <c r="AK18" s="152"/>
      <c r="AL18" s="152"/>
      <c r="AM18" s="135"/>
      <c r="AN18" s="137"/>
      <c r="AO18" s="65"/>
      <c r="AP18" s="152"/>
      <c r="AQ18" s="152"/>
      <c r="AR18" s="135"/>
      <c r="AS18" s="137"/>
      <c r="AT18" s="65"/>
      <c r="AU18" s="136"/>
      <c r="AV18" s="136"/>
      <c r="AW18" s="135"/>
      <c r="AX18" s="68"/>
      <c r="AY18" s="65"/>
      <c r="AZ18" s="136"/>
      <c r="BA18" s="138"/>
      <c r="BB18" s="135"/>
      <c r="BC18" s="65"/>
      <c r="BD18" s="65"/>
      <c r="BE18" s="120"/>
      <c r="BF18" s="120"/>
      <c r="BG18" s="123"/>
      <c r="BH18" s="121"/>
      <c r="BI18" s="125"/>
      <c r="BJ18" s="139"/>
      <c r="BK18" s="125"/>
      <c r="BL18" s="140"/>
      <c r="BM18" s="125"/>
      <c r="BN18" s="125"/>
      <c r="BO18" s="139"/>
      <c r="BP18" s="125"/>
      <c r="BQ18" s="140"/>
      <c r="BR18" s="125"/>
      <c r="BS18" s="125"/>
      <c r="BT18" s="139"/>
      <c r="BU18" s="149"/>
      <c r="BV18" s="140"/>
      <c r="BW18" s="125"/>
      <c r="BX18" s="125"/>
      <c r="BY18" s="141" t="e">
        <f t="shared" si="4"/>
        <v>#VALUE!</v>
      </c>
      <c r="BZ18" s="142"/>
      <c r="CA18" s="64"/>
    </row>
    <row r="19" ht="15.75" customHeight="1" spans="1:79" x14ac:dyDescent="0.25">
      <c r="A19" s="115">
        <f t="shared" ref="A19:A20" si="12">IF(C19="","",A18+1)</f>
        <v>7</v>
      </c>
      <c r="B19" s="153" t="s">
        <v>202</v>
      </c>
      <c r="C19" s="118" t="s">
        <v>203</v>
      </c>
      <c r="D19" s="118" t="s">
        <v>178</v>
      </c>
      <c r="E19" s="118" t="s">
        <v>179</v>
      </c>
      <c r="F19" s="118" t="s">
        <v>180</v>
      </c>
      <c r="G19" s="117" t="str">
        <f t="shared" si="0"/>
        <v>Tiberiu_BRC</v>
      </c>
      <c r="H19" s="119"/>
      <c r="I19" s="150"/>
      <c r="J19" s="145"/>
      <c r="K19" s="122"/>
      <c r="L19" s="146">
        <v>0</v>
      </c>
      <c r="M19" s="146"/>
      <c r="N19" s="145"/>
      <c r="O19" s="124">
        <v>0</v>
      </c>
      <c r="P19" s="125">
        <v>0</v>
      </c>
      <c r="Q19" s="125">
        <v>0</v>
      </c>
      <c r="R19" s="125"/>
      <c r="S19" s="125"/>
      <c r="T19" s="125"/>
      <c r="U19" s="125"/>
      <c r="V19" s="125">
        <v>0</v>
      </c>
      <c r="W19" s="125"/>
      <c r="X19" s="125"/>
      <c r="Y19" s="126"/>
      <c r="Z19" s="127">
        <v>0</v>
      </c>
      <c r="AA19" s="128">
        <v>0</v>
      </c>
      <c r="AB19" s="129">
        <f t="shared" si="1"/>
        <v>0</v>
      </c>
      <c r="AC19" s="130"/>
      <c r="AD19" s="131" t="str">
        <f t="shared" si="2"/>
        <v>BRC</v>
      </c>
      <c r="AE19" s="132"/>
      <c r="AF19" s="132"/>
      <c r="AG19" s="136"/>
      <c r="AH19" s="135"/>
      <c r="AI19" s="68"/>
      <c r="AJ19" s="65"/>
      <c r="AK19" s="136"/>
      <c r="AL19" s="136"/>
      <c r="AM19" s="135"/>
      <c r="AN19" s="137"/>
      <c r="AO19" s="65"/>
      <c r="AP19" s="152"/>
      <c r="AQ19" s="136"/>
      <c r="AR19" s="135"/>
      <c r="AS19" s="137"/>
      <c r="AT19" s="65"/>
      <c r="AU19" s="136"/>
      <c r="AV19" s="136"/>
      <c r="AW19" s="135"/>
      <c r="AX19" s="68"/>
      <c r="AY19" s="65"/>
      <c r="AZ19" s="136"/>
      <c r="BA19" s="138"/>
      <c r="BB19" s="135"/>
      <c r="BC19" s="65"/>
      <c r="BD19" s="65"/>
      <c r="BE19" s="120"/>
      <c r="BF19" s="120"/>
      <c r="BG19" s="123"/>
      <c r="BH19" s="121"/>
      <c r="BI19" s="125"/>
      <c r="BJ19" s="139"/>
      <c r="BK19" s="125"/>
      <c r="BL19" s="140"/>
      <c r="BM19" s="125"/>
      <c r="BN19" s="125"/>
      <c r="BO19" s="139"/>
      <c r="BP19" s="125"/>
      <c r="BQ19" s="140"/>
      <c r="BR19" s="125"/>
      <c r="BS19" s="125"/>
      <c r="BT19" s="139"/>
      <c r="BU19" s="149"/>
      <c r="BV19" s="140"/>
      <c r="BW19" s="125"/>
      <c r="BX19" s="125"/>
      <c r="BY19" s="141" t="e">
        <f t="shared" si="4"/>
        <v>#VALUE!</v>
      </c>
      <c r="BZ19" s="142"/>
      <c r="CA19" s="64" t="s">
        <v>203</v>
      </c>
    </row>
    <row r="20" ht="15.75" customHeight="1" spans="1:79" x14ac:dyDescent="0.25">
      <c r="A20" s="115">
        <f t="shared" si="12"/>
        <v>8</v>
      </c>
      <c r="B20" s="153" t="s">
        <v>204</v>
      </c>
      <c r="C20" s="118" t="s">
        <v>205</v>
      </c>
      <c r="D20" s="118" t="s">
        <v>178</v>
      </c>
      <c r="E20" s="118" t="s">
        <v>194</v>
      </c>
      <c r="F20" s="118" t="s">
        <v>180</v>
      </c>
      <c r="G20" s="117" t="str">
        <f t="shared" si="0"/>
        <v>Adam_Crowd Funding</v>
      </c>
      <c r="H20" s="119"/>
      <c r="I20" s="150"/>
      <c r="J20" s="145"/>
      <c r="K20" s="122"/>
      <c r="L20" s="146">
        <v>0</v>
      </c>
      <c r="M20" s="146"/>
      <c r="N20" s="145"/>
      <c r="O20" s="124">
        <v>0</v>
      </c>
      <c r="P20" s="125">
        <v>0</v>
      </c>
      <c r="Q20" s="125">
        <v>0</v>
      </c>
      <c r="R20" s="125"/>
      <c r="S20" s="125"/>
      <c r="T20" s="125"/>
      <c r="U20" s="125"/>
      <c r="V20" s="125">
        <v>0</v>
      </c>
      <c r="W20" s="125"/>
      <c r="X20" s="125"/>
      <c r="Y20" s="126"/>
      <c r="Z20" s="127">
        <v>0</v>
      </c>
      <c r="AA20" s="128">
        <v>0</v>
      </c>
      <c r="AB20" s="129">
        <f t="shared" si="1"/>
        <v>0</v>
      </c>
      <c r="AC20" s="130"/>
      <c r="AD20" s="131" t="str">
        <f t="shared" si="2"/>
        <v>Crowd Funding</v>
      </c>
      <c r="AE20" s="132"/>
      <c r="AF20" s="132"/>
      <c r="AG20" s="136"/>
      <c r="AH20" s="135"/>
      <c r="AI20" s="135"/>
      <c r="AJ20" s="65"/>
      <c r="AK20" s="136"/>
      <c r="AL20" s="136"/>
      <c r="AM20" s="135"/>
      <c r="AN20" s="137"/>
      <c r="AO20" s="65"/>
      <c r="AP20" s="152"/>
      <c r="AQ20" s="136"/>
      <c r="AR20" s="135"/>
      <c r="AS20" s="137"/>
      <c r="AT20" s="65"/>
      <c r="AU20" s="136"/>
      <c r="AV20" s="136"/>
      <c r="AW20" s="135"/>
      <c r="AX20" s="68"/>
      <c r="AY20" s="65"/>
      <c r="AZ20" s="136"/>
      <c r="BA20" s="138"/>
      <c r="BB20" s="135"/>
      <c r="BC20" s="65"/>
      <c r="BD20" s="65"/>
      <c r="BE20" s="120"/>
      <c r="BF20" s="120"/>
      <c r="BG20" s="123"/>
      <c r="BH20" s="121"/>
      <c r="BI20" s="125"/>
      <c r="BJ20" s="139"/>
      <c r="BK20" s="125"/>
      <c r="BL20" s="140"/>
      <c r="BM20" s="125"/>
      <c r="BN20" s="125"/>
      <c r="BO20" s="139"/>
      <c r="BP20" s="125"/>
      <c r="BQ20" s="140"/>
      <c r="BR20" s="125"/>
      <c r="BS20" s="125"/>
      <c r="BT20" s="139"/>
      <c r="BU20" s="149"/>
      <c r="BV20" s="140"/>
      <c r="BW20" s="125"/>
      <c r="BX20" s="125"/>
      <c r="BY20" s="141" t="e">
        <f t="shared" si="4"/>
        <v>#VALUE!</v>
      </c>
      <c r="BZ20" s="142"/>
      <c r="CA20" s="64" t="s">
        <v>205</v>
      </c>
    </row>
    <row r="21" ht="15.75" customHeight="1" spans="1:79" x14ac:dyDescent="0.25">
      <c r="A21" s="115">
        <v>7</v>
      </c>
      <c r="B21" s="153" t="s">
        <v>206</v>
      </c>
      <c r="C21" s="118" t="s">
        <v>207</v>
      </c>
      <c r="D21" s="118" t="s">
        <v>178</v>
      </c>
      <c r="E21" s="118" t="s">
        <v>179</v>
      </c>
      <c r="F21" s="118" t="s">
        <v>180</v>
      </c>
      <c r="G21" s="117" t="str">
        <f t="shared" si="0"/>
        <v>DTS_DTS_01</v>
      </c>
      <c r="H21" s="119"/>
      <c r="I21" s="150"/>
      <c r="J21" s="145"/>
      <c r="K21" s="122"/>
      <c r="L21" s="146">
        <v>0</v>
      </c>
      <c r="M21" s="146"/>
      <c r="N21" s="145"/>
      <c r="O21" s="124">
        <v>0</v>
      </c>
      <c r="P21" s="125">
        <v>0</v>
      </c>
      <c r="Q21" s="125">
        <v>0</v>
      </c>
      <c r="R21" s="125"/>
      <c r="S21" s="125"/>
      <c r="T21" s="125"/>
      <c r="U21" s="125"/>
      <c r="V21" s="125">
        <v>0</v>
      </c>
      <c r="W21" s="125"/>
      <c r="X21" s="125"/>
      <c r="Y21" s="126"/>
      <c r="Z21" s="127">
        <v>0</v>
      </c>
      <c r="AA21" s="128">
        <v>0</v>
      </c>
      <c r="AB21" s="129">
        <f t="shared" si="1"/>
        <v>0</v>
      </c>
      <c r="AC21" s="130"/>
      <c r="AD21" s="131" t="str">
        <f t="shared" si="2"/>
        <v>DTS_01</v>
      </c>
      <c r="AE21" s="132"/>
      <c r="AF21" s="132"/>
      <c r="AG21" s="136"/>
      <c r="AH21" s="135"/>
      <c r="AI21" s="135"/>
      <c r="AJ21" s="65"/>
      <c r="AK21" s="136"/>
      <c r="AL21" s="136"/>
      <c r="AM21" s="135"/>
      <c r="AN21" s="137"/>
      <c r="AO21" s="65"/>
      <c r="AP21" s="152"/>
      <c r="AQ21" s="136"/>
      <c r="AR21" s="135"/>
      <c r="AS21" s="137"/>
      <c r="AT21" s="65"/>
      <c r="AU21" s="136"/>
      <c r="AV21" s="136"/>
      <c r="AW21" s="135"/>
      <c r="AX21" s="68"/>
      <c r="AY21" s="65"/>
      <c r="AZ21" s="136"/>
      <c r="BA21" s="138"/>
      <c r="BB21" s="135"/>
      <c r="BC21" s="65"/>
      <c r="BD21" s="65"/>
      <c r="BE21" s="120"/>
      <c r="BF21" s="120"/>
      <c r="BG21" s="123"/>
      <c r="BH21" s="121"/>
      <c r="BI21" s="125"/>
      <c r="BJ21" s="139"/>
      <c r="BK21" s="125"/>
      <c r="BL21" s="140"/>
      <c r="BM21" s="125"/>
      <c r="BN21" s="125"/>
      <c r="BO21" s="139"/>
      <c r="BP21" s="125"/>
      <c r="BQ21" s="140"/>
      <c r="BR21" s="125"/>
      <c r="BS21" s="125"/>
      <c r="BT21" s="139"/>
      <c r="BU21" s="149"/>
      <c r="BV21" s="140"/>
      <c r="BW21" s="125"/>
      <c r="BX21" s="125"/>
      <c r="BY21" s="141" t="e">
        <f t="shared" si="4"/>
        <v>#VALUE!</v>
      </c>
      <c r="BZ21" s="142"/>
      <c r="CA21" s="64" t="s">
        <v>206</v>
      </c>
    </row>
    <row r="22" ht="15.75" customHeight="1" spans="1:79" x14ac:dyDescent="0.25">
      <c r="A22" s="115">
        <f t="shared" ref="A22:A23" si="13">IF(C22="","",A21+1)</f>
        <v>8</v>
      </c>
      <c r="B22" s="118"/>
      <c r="C22" s="118" t="s">
        <v>208</v>
      </c>
      <c r="D22" s="118" t="s">
        <v>178</v>
      </c>
      <c r="E22" s="118" t="s">
        <v>179</v>
      </c>
      <c r="F22" s="118" t="s">
        <v>180</v>
      </c>
      <c r="G22" s="117" t="str">
        <f t="shared" si="0"/>
        <v>_DTS_02</v>
      </c>
      <c r="H22" s="119"/>
      <c r="I22" s="150"/>
      <c r="J22" s="145"/>
      <c r="K22" s="122"/>
      <c r="L22" s="146">
        <v>0</v>
      </c>
      <c r="M22" s="146"/>
      <c r="N22" s="145"/>
      <c r="O22" s="124">
        <v>0</v>
      </c>
      <c r="P22" s="125">
        <v>0</v>
      </c>
      <c r="Q22" s="125">
        <v>0</v>
      </c>
      <c r="R22" s="125"/>
      <c r="S22" s="125"/>
      <c r="T22" s="125"/>
      <c r="U22" s="125"/>
      <c r="V22" s="125">
        <v>0</v>
      </c>
      <c r="W22" s="125"/>
      <c r="X22" s="125"/>
      <c r="Y22" s="126"/>
      <c r="Z22" s="127">
        <v>0</v>
      </c>
      <c r="AA22" s="128">
        <v>0</v>
      </c>
      <c r="AB22" s="129">
        <f t="shared" si="1"/>
        <v>0</v>
      </c>
      <c r="AC22" s="130"/>
      <c r="AD22" s="131" t="str">
        <f t="shared" si="2"/>
        <v>DTS_02</v>
      </c>
      <c r="AE22" s="132"/>
      <c r="AF22" s="132"/>
      <c r="AG22" s="136"/>
      <c r="AH22" s="135"/>
      <c r="AI22" s="68"/>
      <c r="AJ22" s="65"/>
      <c r="AK22" s="136"/>
      <c r="AL22" s="136"/>
      <c r="AM22" s="135"/>
      <c r="AN22" s="137"/>
      <c r="AO22" s="65"/>
      <c r="AP22" s="152"/>
      <c r="AQ22" s="136"/>
      <c r="AR22" s="135"/>
      <c r="AS22" s="137"/>
      <c r="AT22" s="65"/>
      <c r="AU22" s="136"/>
      <c r="AV22" s="136"/>
      <c r="AW22" s="135"/>
      <c r="AX22" s="68"/>
      <c r="AY22" s="65"/>
      <c r="AZ22" s="136"/>
      <c r="BA22" s="138"/>
      <c r="BB22" s="135"/>
      <c r="BC22" s="65"/>
      <c r="BD22" s="65"/>
      <c r="BE22" s="120"/>
      <c r="BF22" s="120"/>
      <c r="BG22" s="123"/>
      <c r="BH22" s="121"/>
      <c r="BI22" s="125"/>
      <c r="BJ22" s="139"/>
      <c r="BK22" s="125"/>
      <c r="BL22" s="140"/>
      <c r="BM22" s="125"/>
      <c r="BN22" s="125"/>
      <c r="BO22" s="139"/>
      <c r="BP22" s="125"/>
      <c r="BQ22" s="140"/>
      <c r="BR22" s="125"/>
      <c r="BS22" s="125"/>
      <c r="BT22" s="139"/>
      <c r="BU22" s="149"/>
      <c r="BV22" s="140"/>
      <c r="BW22" s="125"/>
      <c r="BX22" s="125"/>
      <c r="BY22" s="141" t="e">
        <f t="shared" si="4"/>
        <v>#VALUE!</v>
      </c>
      <c r="BZ22" s="142"/>
      <c r="CA22" s="64"/>
    </row>
    <row r="23" ht="15.75" customHeight="1" spans="1:79" x14ac:dyDescent="0.25">
      <c r="A23" s="115">
        <f t="shared" si="13"/>
        <v>9</v>
      </c>
      <c r="B23" s="118"/>
      <c r="C23" s="118" t="s">
        <v>209</v>
      </c>
      <c r="D23" s="118" t="s">
        <v>178</v>
      </c>
      <c r="E23" s="118" t="s">
        <v>179</v>
      </c>
      <c r="F23" s="118" t="s">
        <v>180</v>
      </c>
      <c r="G23" s="117" t="str">
        <f t="shared" si="0"/>
        <v>_DTS_03</v>
      </c>
      <c r="H23" s="119"/>
      <c r="I23" s="150"/>
      <c r="J23" s="145"/>
      <c r="K23" s="122"/>
      <c r="L23" s="146">
        <v>0</v>
      </c>
      <c r="M23" s="146"/>
      <c r="N23" s="145"/>
      <c r="O23" s="124">
        <v>0</v>
      </c>
      <c r="P23" s="125">
        <v>0</v>
      </c>
      <c r="Q23" s="125">
        <v>0</v>
      </c>
      <c r="R23" s="125"/>
      <c r="S23" s="125"/>
      <c r="T23" s="125"/>
      <c r="U23" s="125"/>
      <c r="V23" s="125">
        <v>0</v>
      </c>
      <c r="W23" s="125"/>
      <c r="X23" s="125"/>
      <c r="Y23" s="126"/>
      <c r="Z23" s="127">
        <v>0</v>
      </c>
      <c r="AA23" s="128">
        <v>0</v>
      </c>
      <c r="AB23" s="129">
        <f t="shared" si="1"/>
        <v>0</v>
      </c>
      <c r="AC23" s="130"/>
      <c r="AD23" s="131" t="str">
        <f t="shared" si="2"/>
        <v>DTS_03</v>
      </c>
      <c r="AE23" s="132"/>
      <c r="AF23" s="132"/>
      <c r="AG23" s="136"/>
      <c r="AH23" s="135"/>
      <c r="AI23" s="68"/>
      <c r="AJ23" s="65"/>
      <c r="AK23" s="136"/>
      <c r="AL23" s="136"/>
      <c r="AM23" s="135"/>
      <c r="AN23" s="137"/>
      <c r="AO23" s="65"/>
      <c r="AP23" s="152"/>
      <c r="AQ23" s="136"/>
      <c r="AR23" s="135"/>
      <c r="AS23" s="137"/>
      <c r="AT23" s="65"/>
      <c r="AU23" s="136"/>
      <c r="AV23" s="136"/>
      <c r="AW23" s="135"/>
      <c r="AX23" s="68"/>
      <c r="AY23" s="65"/>
      <c r="AZ23" s="136"/>
      <c r="BA23" s="138"/>
      <c r="BB23" s="135"/>
      <c r="BC23" s="65"/>
      <c r="BD23" s="65"/>
      <c r="BE23" s="120"/>
      <c r="BF23" s="120"/>
      <c r="BG23" s="123"/>
      <c r="BH23" s="121"/>
      <c r="BI23" s="125"/>
      <c r="BJ23" s="139"/>
      <c r="BK23" s="125"/>
      <c r="BL23" s="140"/>
      <c r="BM23" s="125"/>
      <c r="BN23" s="125"/>
      <c r="BO23" s="139"/>
      <c r="BP23" s="125"/>
      <c r="BQ23" s="140"/>
      <c r="BR23" s="125"/>
      <c r="BS23" s="125"/>
      <c r="BT23" s="139"/>
      <c r="BU23" s="149"/>
      <c r="BV23" s="140"/>
      <c r="BW23" s="125"/>
      <c r="BX23" s="125"/>
      <c r="BY23" s="141"/>
      <c r="BZ23" s="142"/>
      <c r="CA23" s="64"/>
    </row>
    <row r="24" ht="15.75" customHeight="1" spans="1:79" x14ac:dyDescent="0.25">
      <c r="A24" s="115">
        <v>8</v>
      </c>
      <c r="B24" s="153" t="s">
        <v>210</v>
      </c>
      <c r="C24" s="118" t="s">
        <v>210</v>
      </c>
      <c r="D24" s="118" t="s">
        <v>178</v>
      </c>
      <c r="E24" s="118" t="s">
        <v>179</v>
      </c>
      <c r="F24" s="118" t="s">
        <v>180</v>
      </c>
      <c r="G24" s="117" t="str">
        <f t="shared" si="0"/>
        <v>MOR_MOR</v>
      </c>
      <c r="H24" s="119"/>
      <c r="I24" s="150"/>
      <c r="J24" s="145"/>
      <c r="K24" s="122"/>
      <c r="L24" s="146">
        <v>0</v>
      </c>
      <c r="M24" s="146"/>
      <c r="N24" s="145"/>
      <c r="O24" s="124">
        <v>0</v>
      </c>
      <c r="P24" s="125">
        <v>0</v>
      </c>
      <c r="Q24" s="125">
        <v>0</v>
      </c>
      <c r="R24" s="125"/>
      <c r="S24" s="125"/>
      <c r="T24" s="125"/>
      <c r="U24" s="125"/>
      <c r="V24" s="125">
        <v>0</v>
      </c>
      <c r="W24" s="125"/>
      <c r="X24" s="125"/>
      <c r="Y24" s="126"/>
      <c r="Z24" s="127">
        <v>0</v>
      </c>
      <c r="AA24" s="128">
        <v>0</v>
      </c>
      <c r="AB24" s="129">
        <f t="shared" si="1"/>
        <v>0</v>
      </c>
      <c r="AC24" s="130"/>
      <c r="AD24" s="131" t="str">
        <f t="shared" si="2"/>
        <v>MOR</v>
      </c>
      <c r="AE24" s="132"/>
      <c r="AF24" s="132"/>
      <c r="AG24" s="136"/>
      <c r="AH24" s="135"/>
      <c r="AI24" s="135"/>
      <c r="AJ24" s="65"/>
      <c r="AK24" s="136"/>
      <c r="AL24" s="136"/>
      <c r="AM24" s="135"/>
      <c r="AN24" s="137"/>
      <c r="AO24" s="65"/>
      <c r="AP24" s="152"/>
      <c r="AQ24" s="136"/>
      <c r="AR24" s="135"/>
      <c r="AS24" s="137"/>
      <c r="AT24" s="65"/>
      <c r="AU24" s="136"/>
      <c r="AV24" s="136"/>
      <c r="AW24" s="135"/>
      <c r="AX24" s="68"/>
      <c r="AY24" s="65"/>
      <c r="AZ24" s="136"/>
      <c r="BA24" s="138"/>
      <c r="BB24" s="135"/>
      <c r="BC24" s="65"/>
      <c r="BD24" s="65"/>
      <c r="BE24" s="120"/>
      <c r="BF24" s="120"/>
      <c r="BG24" s="123"/>
      <c r="BH24" s="121"/>
      <c r="BI24" s="125"/>
      <c r="BJ24" s="139"/>
      <c r="BK24" s="125"/>
      <c r="BL24" s="140"/>
      <c r="BM24" s="125"/>
      <c r="BN24" s="125"/>
      <c r="BO24" s="139"/>
      <c r="BP24" s="125"/>
      <c r="BQ24" s="140"/>
      <c r="BR24" s="125"/>
      <c r="BS24" s="125"/>
      <c r="BT24" s="139"/>
      <c r="BU24" s="149"/>
      <c r="BV24" s="140"/>
      <c r="BW24" s="125"/>
      <c r="BX24" s="125"/>
      <c r="BY24" s="141" t="e">
        <f t="shared" ref="BY24:BY42" si="14">G24+J24</f>
        <v>#VALUE!</v>
      </c>
      <c r="BZ24" s="142"/>
      <c r="CA24" s="64" t="s">
        <v>210</v>
      </c>
    </row>
    <row r="25" ht="15.75" customHeight="1" spans="1:79" x14ac:dyDescent="0.25">
      <c r="A25" s="115">
        <f t="shared" ref="A25:A26" si="15">IF(C25="","",A24+1)</f>
        <v>9</v>
      </c>
      <c r="B25" s="153" t="s">
        <v>211</v>
      </c>
      <c r="C25" s="118" t="s">
        <v>212</v>
      </c>
      <c r="D25" s="118" t="s">
        <v>178</v>
      </c>
      <c r="E25" s="118" t="s">
        <v>179</v>
      </c>
      <c r="F25" s="118" t="s">
        <v>180</v>
      </c>
      <c r="G25" s="117" t="str">
        <f t="shared" si="0"/>
        <v>ICETEA_ICETEA_Clevai onsite</v>
      </c>
      <c r="H25" s="157"/>
      <c r="I25" s="150"/>
      <c r="J25" s="145"/>
      <c r="K25" s="122"/>
      <c r="L25" s="146">
        <v>0</v>
      </c>
      <c r="M25" s="146"/>
      <c r="N25" s="145"/>
      <c r="O25" s="124">
        <v>0</v>
      </c>
      <c r="P25" s="125">
        <v>0</v>
      </c>
      <c r="Q25" s="125">
        <v>0</v>
      </c>
      <c r="R25" s="125"/>
      <c r="S25" s="125"/>
      <c r="T25" s="125"/>
      <c r="U25" s="125"/>
      <c r="V25" s="125">
        <v>0</v>
      </c>
      <c r="W25" s="125"/>
      <c r="X25" s="125"/>
      <c r="Y25" s="126"/>
      <c r="Z25" s="127">
        <v>0</v>
      </c>
      <c r="AA25" s="128">
        <v>0</v>
      </c>
      <c r="AB25" s="129">
        <f t="shared" si="1"/>
        <v>0</v>
      </c>
      <c r="AC25" s="130"/>
      <c r="AD25" s="131" t="str">
        <f t="shared" si="2"/>
        <v>ICETEA_Clevai onsite</v>
      </c>
      <c r="AE25" s="132"/>
      <c r="AF25" s="132"/>
      <c r="AG25" s="136"/>
      <c r="AH25" s="135"/>
      <c r="AI25" s="135"/>
      <c r="AJ25" s="65"/>
      <c r="AK25" s="136"/>
      <c r="AL25" s="136"/>
      <c r="AM25" s="135"/>
      <c r="AN25" s="137"/>
      <c r="AO25" s="65"/>
      <c r="AP25" s="152"/>
      <c r="AQ25" s="136"/>
      <c r="AR25" s="135"/>
      <c r="AS25" s="137"/>
      <c r="AT25" s="65"/>
      <c r="AU25" s="136"/>
      <c r="AV25" s="136"/>
      <c r="AW25" s="135"/>
      <c r="AX25" s="68"/>
      <c r="AY25" s="65"/>
      <c r="AZ25" s="136"/>
      <c r="BA25" s="138"/>
      <c r="BB25" s="135"/>
      <c r="BC25" s="65"/>
      <c r="BD25" s="65"/>
      <c r="BE25" s="120"/>
      <c r="BF25" s="120"/>
      <c r="BG25" s="123"/>
      <c r="BH25" s="121"/>
      <c r="BI25" s="125"/>
      <c r="BJ25" s="139"/>
      <c r="BK25" s="125"/>
      <c r="BL25" s="140"/>
      <c r="BM25" s="125"/>
      <c r="BN25" s="125"/>
      <c r="BO25" s="139"/>
      <c r="BP25" s="125"/>
      <c r="BQ25" s="140"/>
      <c r="BR25" s="125"/>
      <c r="BS25" s="125"/>
      <c r="BT25" s="139"/>
      <c r="BU25" s="149"/>
      <c r="BV25" s="140"/>
      <c r="BW25" s="125"/>
      <c r="BX25" s="125"/>
      <c r="BY25" s="141" t="e">
        <f t="shared" si="14"/>
        <v>#VALUE!</v>
      </c>
      <c r="BZ25" s="142"/>
      <c r="CA25" s="64" t="s">
        <v>212</v>
      </c>
    </row>
    <row r="26" ht="15.75" customHeight="1" spans="1:79" x14ac:dyDescent="0.25">
      <c r="A26" s="115">
        <f t="shared" si="15"/>
        <v>10</v>
      </c>
      <c r="B26" s="118"/>
      <c r="C26" s="118" t="s">
        <v>213</v>
      </c>
      <c r="D26" s="118" t="s">
        <v>178</v>
      </c>
      <c r="E26" s="118" t="s">
        <v>179</v>
      </c>
      <c r="F26" s="118" t="s">
        <v>180</v>
      </c>
      <c r="G26" s="117" t="str">
        <f t="shared" si="0"/>
        <v>_ICETEA_NCB onsite</v>
      </c>
      <c r="H26" s="157"/>
      <c r="I26" s="150"/>
      <c r="J26" s="145"/>
      <c r="K26" s="122"/>
      <c r="L26" s="146">
        <v>0</v>
      </c>
      <c r="M26" s="146"/>
      <c r="N26" s="145"/>
      <c r="O26" s="124">
        <v>0</v>
      </c>
      <c r="P26" s="125">
        <v>0</v>
      </c>
      <c r="Q26" s="125">
        <v>0</v>
      </c>
      <c r="R26" s="125"/>
      <c r="S26" s="125"/>
      <c r="T26" s="125"/>
      <c r="U26" s="125"/>
      <c r="V26" s="125">
        <v>0</v>
      </c>
      <c r="W26" s="125"/>
      <c r="X26" s="125"/>
      <c r="Y26" s="126"/>
      <c r="Z26" s="127">
        <v>0</v>
      </c>
      <c r="AA26" s="128">
        <v>0</v>
      </c>
      <c r="AB26" s="129">
        <f t="shared" si="1"/>
        <v>0</v>
      </c>
      <c r="AC26" s="130"/>
      <c r="AD26" s="131" t="str">
        <f t="shared" si="2"/>
        <v>ICETEA_NCB onsite</v>
      </c>
      <c r="AE26" s="132"/>
      <c r="AF26" s="132"/>
      <c r="AG26" s="136"/>
      <c r="AH26" s="135"/>
      <c r="AI26" s="68"/>
      <c r="AJ26" s="65"/>
      <c r="AK26" s="136"/>
      <c r="AL26" s="136"/>
      <c r="AM26" s="135"/>
      <c r="AN26" s="137"/>
      <c r="AO26" s="65"/>
      <c r="AP26" s="136"/>
      <c r="AQ26" s="136"/>
      <c r="AR26" s="135"/>
      <c r="AS26" s="137"/>
      <c r="AT26" s="65"/>
      <c r="AU26" s="136"/>
      <c r="AV26" s="136"/>
      <c r="AW26" s="135"/>
      <c r="AX26" s="68"/>
      <c r="AY26" s="65"/>
      <c r="AZ26" s="136"/>
      <c r="BA26" s="138"/>
      <c r="BB26" s="135"/>
      <c r="BC26" s="65"/>
      <c r="BD26" s="65"/>
      <c r="BE26" s="120"/>
      <c r="BF26" s="120"/>
      <c r="BG26" s="123"/>
      <c r="BH26" s="121"/>
      <c r="BI26" s="125"/>
      <c r="BJ26" s="139"/>
      <c r="BK26" s="125"/>
      <c r="BL26" s="140"/>
      <c r="BM26" s="125"/>
      <c r="BN26" s="125"/>
      <c r="BO26" s="139"/>
      <c r="BP26" s="125"/>
      <c r="BQ26" s="140"/>
      <c r="BR26" s="125"/>
      <c r="BS26" s="125"/>
      <c r="BT26" s="139"/>
      <c r="BU26" s="149"/>
      <c r="BV26" s="140"/>
      <c r="BW26" s="125"/>
      <c r="BX26" s="125"/>
      <c r="BY26" s="141" t="e">
        <f t="shared" si="14"/>
        <v>#VALUE!</v>
      </c>
      <c r="BZ26" s="142"/>
      <c r="CA26" s="64" t="s">
        <v>213</v>
      </c>
    </row>
    <row r="27" ht="15.75" customHeight="1" spans="1:79" x14ac:dyDescent="0.25">
      <c r="A27" s="115">
        <v>9</v>
      </c>
      <c r="B27" s="153" t="s">
        <v>214</v>
      </c>
      <c r="C27" s="118" t="s">
        <v>214</v>
      </c>
      <c r="D27" s="118" t="s">
        <v>178</v>
      </c>
      <c r="E27" s="118" t="s">
        <v>194</v>
      </c>
      <c r="F27" s="118" t="s">
        <v>180</v>
      </c>
      <c r="G27" s="117" t="str">
        <f t="shared" si="0"/>
        <v>Sen Việt_Sen Việt</v>
      </c>
      <c r="H27" s="157"/>
      <c r="I27" s="150"/>
      <c r="J27" s="145"/>
      <c r="K27" s="122"/>
      <c r="L27" s="146">
        <v>0</v>
      </c>
      <c r="M27" s="146"/>
      <c r="N27" s="145"/>
      <c r="O27" s="124">
        <v>2535370</v>
      </c>
      <c r="P27" s="125">
        <v>2535370</v>
      </c>
      <c r="Q27" s="125">
        <v>-2535370</v>
      </c>
      <c r="R27" s="125"/>
      <c r="S27" s="125"/>
      <c r="T27" s="125"/>
      <c r="U27" s="125"/>
      <c r="V27" s="125">
        <v>0</v>
      </c>
      <c r="W27" s="125"/>
      <c r="X27" s="125"/>
      <c r="Y27" s="126"/>
      <c r="Z27" s="127">
        <v>0</v>
      </c>
      <c r="AA27" s="128">
        <v>0</v>
      </c>
      <c r="AB27" s="129">
        <f t="shared" si="1"/>
        <v>0</v>
      </c>
      <c r="AC27" s="130"/>
      <c r="AD27" s="131" t="str">
        <f t="shared" si="2"/>
        <v>Sen Việt</v>
      </c>
      <c r="AE27" s="132"/>
      <c r="AF27" s="132"/>
      <c r="AG27" s="136"/>
      <c r="AH27" s="135"/>
      <c r="AI27" s="135"/>
      <c r="AJ27" s="65"/>
      <c r="AK27" s="136"/>
      <c r="AL27" s="136"/>
      <c r="AM27" s="135"/>
      <c r="AN27" s="137"/>
      <c r="AO27" s="65"/>
      <c r="AP27" s="136"/>
      <c r="AQ27" s="136"/>
      <c r="AR27" s="135"/>
      <c r="AS27" s="137"/>
      <c r="AT27" s="65"/>
      <c r="AU27" s="136"/>
      <c r="AV27" s="136"/>
      <c r="AW27" s="135"/>
      <c r="AX27" s="68"/>
      <c r="AY27" s="65"/>
      <c r="AZ27" s="136"/>
      <c r="BA27" s="138"/>
      <c r="BB27" s="135"/>
      <c r="BC27" s="65"/>
      <c r="BD27" s="65"/>
      <c r="BE27" s="120"/>
      <c r="BF27" s="120"/>
      <c r="BG27" s="123"/>
      <c r="BH27" s="121"/>
      <c r="BI27" s="125"/>
      <c r="BJ27" s="139"/>
      <c r="BK27" s="125"/>
      <c r="BL27" s="140"/>
      <c r="BM27" s="125"/>
      <c r="BN27" s="125"/>
      <c r="BO27" s="139"/>
      <c r="BP27" s="125"/>
      <c r="BQ27" s="140"/>
      <c r="BR27" s="125"/>
      <c r="BS27" s="125"/>
      <c r="BT27" s="139"/>
      <c r="BU27" s="149"/>
      <c r="BV27" s="140"/>
      <c r="BW27" s="125"/>
      <c r="BX27" s="125"/>
      <c r="BY27" s="141" t="e">
        <f t="shared" si="14"/>
        <v>#VALUE!</v>
      </c>
      <c r="BZ27" s="142"/>
      <c r="CA27" s="64" t="s">
        <v>214</v>
      </c>
    </row>
    <row r="28" ht="15.75" customHeight="1" spans="1:79" x14ac:dyDescent="0.25">
      <c r="A28" s="115">
        <f t="shared" ref="A28:A29" si="16">IF(C28="","",A27+1)</f>
        <v>10</v>
      </c>
      <c r="B28" s="153" t="s">
        <v>215</v>
      </c>
      <c r="C28" s="118" t="s">
        <v>216</v>
      </c>
      <c r="D28" s="118" t="s">
        <v>183</v>
      </c>
      <c r="E28" s="118" t="s">
        <v>179</v>
      </c>
      <c r="F28" s="118" t="s">
        <v>191</v>
      </c>
      <c r="G28" s="117" t="str">
        <f t="shared" si="0"/>
        <v>Web3_Web3Research</v>
      </c>
      <c r="H28" s="157"/>
      <c r="I28" s="144"/>
      <c r="J28" s="145">
        <v>60406511</v>
      </c>
      <c r="K28" s="122"/>
      <c r="L28" s="146">
        <v>60406511</v>
      </c>
      <c r="M28" s="147"/>
      <c r="N28" s="145">
        <v>40090909</v>
      </c>
      <c r="O28" s="124"/>
      <c r="P28" s="158">
        <v>40090909</v>
      </c>
      <c r="Q28" s="158">
        <v>20315602</v>
      </c>
      <c r="R28" s="159">
        <v>0.3363</v>
      </c>
      <c r="S28" s="158"/>
      <c r="T28" s="158">
        <v>62798314</v>
      </c>
      <c r="U28" s="158"/>
      <c r="V28" s="158">
        <v>62798314</v>
      </c>
      <c r="W28" s="158"/>
      <c r="X28" s="158">
        <v>31043478</v>
      </c>
      <c r="Y28" s="126"/>
      <c r="Z28" s="127">
        <v>31043478</v>
      </c>
      <c r="AA28" s="128">
        <v>31754836</v>
      </c>
      <c r="AB28" s="129">
        <f t="shared" si="1"/>
        <v>31754836</v>
      </c>
      <c r="AC28" s="130"/>
      <c r="AD28" s="131" t="str">
        <f t="shared" si="2"/>
        <v>Web3Research</v>
      </c>
      <c r="AE28" s="132"/>
      <c r="AF28" s="132"/>
      <c r="AG28" s="136"/>
      <c r="AH28" s="135"/>
      <c r="AI28" s="68"/>
      <c r="AJ28" s="65"/>
      <c r="AK28" s="136"/>
      <c r="AL28" s="136"/>
      <c r="AM28" s="135"/>
      <c r="AN28" s="137"/>
      <c r="AO28" s="65"/>
      <c r="AP28" s="136"/>
      <c r="AQ28" s="136"/>
      <c r="AR28" s="135"/>
      <c r="AS28" s="137"/>
      <c r="AT28" s="65"/>
      <c r="AU28" s="136"/>
      <c r="AV28" s="136"/>
      <c r="AW28" s="135"/>
      <c r="AX28" s="68"/>
      <c r="AY28" s="65"/>
      <c r="AZ28" s="136"/>
      <c r="BA28" s="138"/>
      <c r="BB28" s="135"/>
      <c r="BC28" s="65"/>
      <c r="BD28" s="65"/>
      <c r="BE28" s="120"/>
      <c r="BF28" s="120"/>
      <c r="BG28" s="123"/>
      <c r="BH28" s="121"/>
      <c r="BI28" s="125"/>
      <c r="BJ28" s="139"/>
      <c r="BK28" s="125"/>
      <c r="BL28" s="140"/>
      <c r="BM28" s="125"/>
      <c r="BN28" s="125"/>
      <c r="BO28" s="139"/>
      <c r="BP28" s="125"/>
      <c r="BQ28" s="140"/>
      <c r="BR28" s="125"/>
      <c r="BS28" s="125"/>
      <c r="BT28" s="139"/>
      <c r="BU28" s="149"/>
      <c r="BV28" s="140"/>
      <c r="BW28" s="125"/>
      <c r="BX28" s="125"/>
      <c r="BY28" s="141" t="e">
        <f t="shared" si="14"/>
        <v>#VALUE!</v>
      </c>
      <c r="BZ28" s="142"/>
      <c r="CA28" s="64" t="s">
        <v>215</v>
      </c>
    </row>
    <row r="29" ht="15.75" customHeight="1" spans="1:79" x14ac:dyDescent="0.25">
      <c r="A29" s="115">
        <f t="shared" si="16"/>
        <v>11</v>
      </c>
      <c r="B29" s="153" t="s">
        <v>217</v>
      </c>
      <c r="C29" s="118" t="s">
        <v>217</v>
      </c>
      <c r="D29" s="118" t="s">
        <v>178</v>
      </c>
      <c r="E29" s="118" t="s">
        <v>194</v>
      </c>
      <c r="F29" s="118" t="s">
        <v>180</v>
      </c>
      <c r="G29" s="117" t="str">
        <f t="shared" si="0"/>
        <v>Ái Việt_Ái Việt</v>
      </c>
      <c r="H29" s="157"/>
      <c r="I29" s="150"/>
      <c r="J29" s="145"/>
      <c r="K29" s="122"/>
      <c r="L29" s="146">
        <v>0</v>
      </c>
      <c r="M29" s="146"/>
      <c r="N29" s="145"/>
      <c r="O29" s="124">
        <v>0</v>
      </c>
      <c r="P29" s="125">
        <v>0</v>
      </c>
      <c r="Q29" s="125">
        <v>0</v>
      </c>
      <c r="R29" s="125"/>
      <c r="S29" s="125"/>
      <c r="T29" s="125"/>
      <c r="U29" s="125"/>
      <c r="V29" s="125">
        <v>0</v>
      </c>
      <c r="W29" s="125"/>
      <c r="X29" s="125"/>
      <c r="Y29" s="126"/>
      <c r="Z29" s="127">
        <v>0</v>
      </c>
      <c r="AA29" s="128">
        <v>0</v>
      </c>
      <c r="AB29" s="129">
        <f t="shared" si="1"/>
        <v>0</v>
      </c>
      <c r="AC29" s="130"/>
      <c r="AD29" s="131" t="str">
        <f t="shared" si="2"/>
        <v>Ái Việt</v>
      </c>
      <c r="AE29" s="132"/>
      <c r="AF29" s="132"/>
      <c r="AG29" s="136"/>
      <c r="AH29" s="135"/>
      <c r="AI29" s="135"/>
      <c r="AJ29" s="65"/>
      <c r="AK29" s="136"/>
      <c r="AL29" s="136"/>
      <c r="AM29" s="135"/>
      <c r="AN29" s="137"/>
      <c r="AO29" s="65"/>
      <c r="AP29" s="136"/>
      <c r="AQ29" s="136"/>
      <c r="AR29" s="135"/>
      <c r="AS29" s="137"/>
      <c r="AT29" s="65"/>
      <c r="AU29" s="136"/>
      <c r="AV29" s="136"/>
      <c r="AW29" s="135"/>
      <c r="AX29" s="68"/>
      <c r="AY29" s="65"/>
      <c r="AZ29" s="136"/>
      <c r="BA29" s="138"/>
      <c r="BB29" s="135"/>
      <c r="BC29" s="65"/>
      <c r="BD29" s="65"/>
      <c r="BE29" s="120"/>
      <c r="BF29" s="120"/>
      <c r="BG29" s="123"/>
      <c r="BH29" s="121"/>
      <c r="BI29" s="125"/>
      <c r="BJ29" s="139"/>
      <c r="BK29" s="125"/>
      <c r="BL29" s="140"/>
      <c r="BM29" s="125"/>
      <c r="BN29" s="125"/>
      <c r="BO29" s="139"/>
      <c r="BP29" s="125"/>
      <c r="BQ29" s="140"/>
      <c r="BR29" s="125"/>
      <c r="BS29" s="125"/>
      <c r="BT29" s="139"/>
      <c r="BU29" s="149"/>
      <c r="BV29" s="140"/>
      <c r="BW29" s="125"/>
      <c r="BX29" s="125"/>
      <c r="BY29" s="141" t="e">
        <f t="shared" si="14"/>
        <v>#VALUE!</v>
      </c>
      <c r="BZ29" s="142"/>
      <c r="CA29" s="64" t="s">
        <v>217</v>
      </c>
    </row>
    <row r="30" ht="15.75" customHeight="1" spans="1:79" x14ac:dyDescent="0.25">
      <c r="A30" s="115">
        <v>10</v>
      </c>
      <c r="B30" s="153" t="s">
        <v>218</v>
      </c>
      <c r="C30" s="118" t="s">
        <v>218</v>
      </c>
      <c r="D30" s="118" t="s">
        <v>178</v>
      </c>
      <c r="E30" s="118" t="s">
        <v>179</v>
      </c>
      <c r="F30" s="118" t="s">
        <v>180</v>
      </c>
      <c r="G30" s="117" t="str">
        <f t="shared" si="0"/>
        <v>GTS_GTS</v>
      </c>
      <c r="H30" s="157"/>
      <c r="I30" s="150"/>
      <c r="J30" s="145"/>
      <c r="K30" s="122"/>
      <c r="L30" s="146">
        <v>0</v>
      </c>
      <c r="M30" s="146"/>
      <c r="N30" s="145"/>
      <c r="O30" s="124">
        <v>0</v>
      </c>
      <c r="P30" s="125">
        <v>0</v>
      </c>
      <c r="Q30" s="125">
        <v>0</v>
      </c>
      <c r="R30" s="125"/>
      <c r="S30" s="125"/>
      <c r="T30" s="125"/>
      <c r="U30" s="125"/>
      <c r="V30" s="125">
        <v>0</v>
      </c>
      <c r="W30" s="125"/>
      <c r="X30" s="125"/>
      <c r="Y30" s="126"/>
      <c r="Z30" s="127">
        <v>0</v>
      </c>
      <c r="AA30" s="128">
        <v>0</v>
      </c>
      <c r="AB30" s="129">
        <f t="shared" si="1"/>
        <v>0</v>
      </c>
      <c r="AC30" s="130"/>
      <c r="AD30" s="131" t="str">
        <f t="shared" si="2"/>
        <v>GTS</v>
      </c>
      <c r="AE30" s="132"/>
      <c r="AF30" s="132"/>
      <c r="AG30" s="136"/>
      <c r="AH30" s="135"/>
      <c r="AI30" s="68"/>
      <c r="AJ30" s="65"/>
      <c r="AK30" s="136"/>
      <c r="AL30" s="136"/>
      <c r="AM30" s="135"/>
      <c r="AN30" s="137"/>
      <c r="AO30" s="65"/>
      <c r="AP30" s="136"/>
      <c r="AQ30" s="136"/>
      <c r="AR30" s="135"/>
      <c r="AS30" s="137"/>
      <c r="AT30" s="65"/>
      <c r="AU30" s="136"/>
      <c r="AV30" s="136"/>
      <c r="AW30" s="135"/>
      <c r="AX30" s="68"/>
      <c r="AY30" s="65"/>
      <c r="AZ30" s="136"/>
      <c r="BA30" s="138"/>
      <c r="BB30" s="135"/>
      <c r="BC30" s="65"/>
      <c r="BD30" s="65"/>
      <c r="BE30" s="120"/>
      <c r="BF30" s="120"/>
      <c r="BG30" s="123"/>
      <c r="BH30" s="121"/>
      <c r="BI30" s="125"/>
      <c r="BJ30" s="139"/>
      <c r="BK30" s="125"/>
      <c r="BL30" s="140"/>
      <c r="BM30" s="125"/>
      <c r="BN30" s="125"/>
      <c r="BO30" s="139"/>
      <c r="BP30" s="125"/>
      <c r="BQ30" s="140"/>
      <c r="BR30" s="125"/>
      <c r="BS30" s="125"/>
      <c r="BT30" s="139"/>
      <c r="BU30" s="149"/>
      <c r="BV30" s="140"/>
      <c r="BW30" s="125"/>
      <c r="BX30" s="125"/>
      <c r="BY30" s="141" t="e">
        <f t="shared" si="14"/>
        <v>#VALUE!</v>
      </c>
      <c r="BZ30" s="142"/>
      <c r="CA30" s="64" t="s">
        <v>218</v>
      </c>
    </row>
    <row r="31" ht="15.75" customHeight="1" spans="1:79" x14ac:dyDescent="0.25">
      <c r="A31" s="115">
        <f t="shared" ref="A31:A32" si="17">IF(C31="","",A30+1)</f>
        <v>11</v>
      </c>
      <c r="B31" s="153" t="s">
        <v>219</v>
      </c>
      <c r="C31" s="118" t="s">
        <v>220</v>
      </c>
      <c r="D31" s="118" t="s">
        <v>178</v>
      </c>
      <c r="E31" s="118" t="s">
        <v>194</v>
      </c>
      <c r="F31" s="118" t="s">
        <v>180</v>
      </c>
      <c r="G31" s="117" t="str">
        <f t="shared" si="0"/>
        <v>Thảo Nguyên_Thảo Nguyên Shop_01</v>
      </c>
      <c r="H31" s="119"/>
      <c r="I31" s="150"/>
      <c r="J31" s="145"/>
      <c r="K31" s="122"/>
      <c r="L31" s="146">
        <v>0</v>
      </c>
      <c r="M31" s="146"/>
      <c r="N31" s="145"/>
      <c r="O31" s="124">
        <v>0</v>
      </c>
      <c r="P31" s="125">
        <v>0</v>
      </c>
      <c r="Q31" s="125">
        <v>0</v>
      </c>
      <c r="R31" s="125"/>
      <c r="S31" s="125"/>
      <c r="T31" s="125"/>
      <c r="U31" s="125"/>
      <c r="V31" s="125">
        <v>0</v>
      </c>
      <c r="W31" s="125"/>
      <c r="X31" s="125"/>
      <c r="Y31" s="126"/>
      <c r="Z31" s="127">
        <v>0</v>
      </c>
      <c r="AA31" s="128">
        <v>0</v>
      </c>
      <c r="AB31" s="129">
        <f t="shared" si="1"/>
        <v>0</v>
      </c>
      <c r="AC31" s="130"/>
      <c r="AD31" s="131" t="str">
        <f t="shared" si="2"/>
        <v>Thảo Nguyên Shop_01</v>
      </c>
      <c r="AE31" s="132"/>
      <c r="AF31" s="132"/>
      <c r="AG31" s="136"/>
      <c r="AH31" s="135"/>
      <c r="AI31" s="135"/>
      <c r="AJ31" s="65"/>
      <c r="AK31" s="136"/>
      <c r="AL31" s="136"/>
      <c r="AM31" s="135"/>
      <c r="AN31" s="137"/>
      <c r="AO31" s="65"/>
      <c r="AP31" s="136"/>
      <c r="AQ31" s="136"/>
      <c r="AR31" s="135"/>
      <c r="AS31" s="137"/>
      <c r="AT31" s="65"/>
      <c r="AU31" s="136"/>
      <c r="AV31" s="136"/>
      <c r="AW31" s="135"/>
      <c r="AX31" s="68"/>
      <c r="AY31" s="65"/>
      <c r="AZ31" s="136"/>
      <c r="BA31" s="138"/>
      <c r="BB31" s="135"/>
      <c r="BC31" s="65"/>
      <c r="BD31" s="65"/>
      <c r="BE31" s="120"/>
      <c r="BF31" s="120"/>
      <c r="BG31" s="123"/>
      <c r="BH31" s="121"/>
      <c r="BI31" s="125"/>
      <c r="BJ31" s="139"/>
      <c r="BK31" s="125"/>
      <c r="BL31" s="140"/>
      <c r="BM31" s="125"/>
      <c r="BN31" s="125"/>
      <c r="BO31" s="139"/>
      <c r="BP31" s="125"/>
      <c r="BQ31" s="140"/>
      <c r="BR31" s="125"/>
      <c r="BS31" s="125"/>
      <c r="BT31" s="139"/>
      <c r="BU31" s="149"/>
      <c r="BV31" s="140"/>
      <c r="BW31" s="125"/>
      <c r="BX31" s="125"/>
      <c r="BY31" s="141" t="e">
        <f t="shared" si="14"/>
        <v>#VALUE!</v>
      </c>
      <c r="BZ31" s="142"/>
      <c r="CA31" s="64" t="s">
        <v>220</v>
      </c>
    </row>
    <row r="32" ht="15.75" customHeight="1" spans="1:79" x14ac:dyDescent="0.25">
      <c r="A32" s="115">
        <f t="shared" si="17"/>
        <v>12</v>
      </c>
      <c r="B32" s="118"/>
      <c r="C32" s="118" t="s">
        <v>221</v>
      </c>
      <c r="D32" s="118" t="s">
        <v>178</v>
      </c>
      <c r="E32" s="118" t="s">
        <v>194</v>
      </c>
      <c r="F32" s="118" t="s">
        <v>180</v>
      </c>
      <c r="G32" s="117" t="str">
        <f t="shared" si="0"/>
        <v>_Thảo Nguyên Shop_02</v>
      </c>
      <c r="H32" s="119"/>
      <c r="I32" s="150"/>
      <c r="J32" s="145"/>
      <c r="K32" s="122"/>
      <c r="L32" s="146">
        <v>0</v>
      </c>
      <c r="M32" s="146"/>
      <c r="N32" s="145"/>
      <c r="O32" s="124">
        <v>0</v>
      </c>
      <c r="P32" s="125">
        <v>0</v>
      </c>
      <c r="Q32" s="125">
        <v>0</v>
      </c>
      <c r="R32" s="125"/>
      <c r="S32" s="125"/>
      <c r="T32" s="125"/>
      <c r="U32" s="125"/>
      <c r="V32" s="125">
        <v>0</v>
      </c>
      <c r="W32" s="125"/>
      <c r="X32" s="125"/>
      <c r="Y32" s="126"/>
      <c r="Z32" s="127">
        <v>0</v>
      </c>
      <c r="AA32" s="128">
        <v>0</v>
      </c>
      <c r="AB32" s="129">
        <f t="shared" si="1"/>
        <v>0</v>
      </c>
      <c r="AC32" s="130"/>
      <c r="AD32" s="131" t="str">
        <f t="shared" si="2"/>
        <v>Thảo Nguyên Shop_02</v>
      </c>
      <c r="AE32" s="132"/>
      <c r="AF32" s="132"/>
      <c r="AG32" s="136"/>
      <c r="AH32" s="135"/>
      <c r="AI32" s="135"/>
      <c r="AJ32" s="65"/>
      <c r="AK32" s="136"/>
      <c r="AL32" s="136"/>
      <c r="AM32" s="135"/>
      <c r="AN32" s="137"/>
      <c r="AO32" s="65"/>
      <c r="AP32" s="136"/>
      <c r="AQ32" s="136"/>
      <c r="AR32" s="135"/>
      <c r="AS32" s="137"/>
      <c r="AT32" s="65"/>
      <c r="AU32" s="136"/>
      <c r="AV32" s="136"/>
      <c r="AW32" s="135"/>
      <c r="AX32" s="68"/>
      <c r="AY32" s="65"/>
      <c r="AZ32" s="136"/>
      <c r="BA32" s="138"/>
      <c r="BB32" s="135"/>
      <c r="BC32" s="65"/>
      <c r="BD32" s="65"/>
      <c r="BE32" s="120"/>
      <c r="BF32" s="120"/>
      <c r="BG32" s="123"/>
      <c r="BH32" s="121"/>
      <c r="BI32" s="125"/>
      <c r="BJ32" s="139"/>
      <c r="BK32" s="125"/>
      <c r="BL32" s="140"/>
      <c r="BM32" s="125"/>
      <c r="BN32" s="125"/>
      <c r="BO32" s="139"/>
      <c r="BP32" s="125"/>
      <c r="BQ32" s="140"/>
      <c r="BR32" s="125"/>
      <c r="BS32" s="125"/>
      <c r="BT32" s="139"/>
      <c r="BU32" s="149"/>
      <c r="BV32" s="140"/>
      <c r="BW32" s="125"/>
      <c r="BX32" s="125"/>
      <c r="BY32" s="141" t="e">
        <f t="shared" si="14"/>
        <v>#VALUE!</v>
      </c>
      <c r="BZ32" s="142"/>
      <c r="CA32" s="64" t="s">
        <v>221</v>
      </c>
    </row>
    <row r="33" ht="15.75" customHeight="1" spans="1:79" x14ac:dyDescent="0.25">
      <c r="A33" s="115">
        <v>11</v>
      </c>
      <c r="B33" s="118"/>
      <c r="C33" s="118" t="s">
        <v>222</v>
      </c>
      <c r="D33" s="118" t="s">
        <v>178</v>
      </c>
      <c r="E33" s="118" t="s">
        <v>194</v>
      </c>
      <c r="F33" s="118" t="s">
        <v>180</v>
      </c>
      <c r="G33" s="117" t="str">
        <f t="shared" si="0"/>
        <v>_Thảo Nguyên Shop_03</v>
      </c>
      <c r="H33" s="119"/>
      <c r="I33" s="150"/>
      <c r="J33" s="145"/>
      <c r="K33" s="122"/>
      <c r="L33" s="146">
        <v>0</v>
      </c>
      <c r="M33" s="146"/>
      <c r="N33" s="145"/>
      <c r="O33" s="124">
        <v>0</v>
      </c>
      <c r="P33" s="125">
        <v>0</v>
      </c>
      <c r="Q33" s="125">
        <v>0</v>
      </c>
      <c r="R33" s="125"/>
      <c r="S33" s="125"/>
      <c r="T33" s="125"/>
      <c r="U33" s="125"/>
      <c r="V33" s="125">
        <v>0</v>
      </c>
      <c r="W33" s="125"/>
      <c r="X33" s="125"/>
      <c r="Y33" s="126"/>
      <c r="Z33" s="127">
        <v>0</v>
      </c>
      <c r="AA33" s="128">
        <v>0</v>
      </c>
      <c r="AB33" s="129">
        <f t="shared" si="1"/>
        <v>0</v>
      </c>
      <c r="AC33" s="130"/>
      <c r="AD33" s="131" t="str">
        <f t="shared" si="2"/>
        <v>Thảo Nguyên Shop_03</v>
      </c>
      <c r="AE33" s="132"/>
      <c r="AF33" s="132"/>
      <c r="AG33" s="136"/>
      <c r="AH33" s="135"/>
      <c r="AI33" s="135"/>
      <c r="AJ33" s="65"/>
      <c r="AK33" s="136"/>
      <c r="AL33" s="136"/>
      <c r="AM33" s="135"/>
      <c r="AN33" s="137"/>
      <c r="AO33" s="65"/>
      <c r="AP33" s="136"/>
      <c r="AQ33" s="136"/>
      <c r="AR33" s="135"/>
      <c r="AS33" s="137"/>
      <c r="AT33" s="65"/>
      <c r="AU33" s="136"/>
      <c r="AV33" s="136"/>
      <c r="AW33" s="135"/>
      <c r="AX33" s="68"/>
      <c r="AY33" s="65"/>
      <c r="AZ33" s="136"/>
      <c r="BA33" s="138"/>
      <c r="BB33" s="135"/>
      <c r="BC33" s="65"/>
      <c r="BD33" s="65"/>
      <c r="BE33" s="120"/>
      <c r="BF33" s="120"/>
      <c r="BG33" s="123"/>
      <c r="BH33" s="121"/>
      <c r="BI33" s="125"/>
      <c r="BJ33" s="139"/>
      <c r="BK33" s="125"/>
      <c r="BL33" s="140"/>
      <c r="BM33" s="125"/>
      <c r="BN33" s="125"/>
      <c r="BO33" s="139"/>
      <c r="BP33" s="125"/>
      <c r="BQ33" s="140"/>
      <c r="BR33" s="125"/>
      <c r="BS33" s="125"/>
      <c r="BT33" s="139"/>
      <c r="BU33" s="149"/>
      <c r="BV33" s="140"/>
      <c r="BW33" s="125"/>
      <c r="BX33" s="125"/>
      <c r="BY33" s="141" t="e">
        <f t="shared" si="14"/>
        <v>#VALUE!</v>
      </c>
      <c r="BZ33" s="142"/>
      <c r="CA33" s="64"/>
    </row>
    <row r="34" ht="15.75" customHeight="1" spans="1:79" x14ac:dyDescent="0.25">
      <c r="A34" s="115">
        <f t="shared" ref="A34:A35" si="18">IF(C34="","",A33+1)</f>
        <v>12</v>
      </c>
      <c r="B34" s="153" t="s">
        <v>223</v>
      </c>
      <c r="C34" s="118" t="s">
        <v>223</v>
      </c>
      <c r="D34" s="118" t="s">
        <v>178</v>
      </c>
      <c r="E34" s="118" t="s">
        <v>179</v>
      </c>
      <c r="F34" s="118" t="s">
        <v>180</v>
      </c>
      <c r="G34" s="117" t="str">
        <f t="shared" si="0"/>
        <v>MHS_MHS</v>
      </c>
      <c r="H34" s="119"/>
      <c r="I34" s="150"/>
      <c r="J34" s="145"/>
      <c r="K34" s="122"/>
      <c r="L34" s="146">
        <v>0</v>
      </c>
      <c r="M34" s="146"/>
      <c r="N34" s="145"/>
      <c r="O34" s="124">
        <v>0</v>
      </c>
      <c r="P34" s="125">
        <v>0</v>
      </c>
      <c r="Q34" s="125">
        <v>0</v>
      </c>
      <c r="R34" s="125"/>
      <c r="S34" s="125"/>
      <c r="T34" s="125"/>
      <c r="U34" s="125"/>
      <c r="V34" s="125">
        <v>0</v>
      </c>
      <c r="W34" s="125"/>
      <c r="X34" s="125"/>
      <c r="Y34" s="126"/>
      <c r="Z34" s="127">
        <v>0</v>
      </c>
      <c r="AA34" s="128">
        <v>0</v>
      </c>
      <c r="AB34" s="129">
        <f t="shared" si="1"/>
        <v>0</v>
      </c>
      <c r="AC34" s="130"/>
      <c r="AD34" s="131" t="str">
        <f t="shared" si="2"/>
        <v>MHS</v>
      </c>
      <c r="AE34" s="132"/>
      <c r="AF34" s="132"/>
      <c r="AG34" s="136"/>
      <c r="AH34" s="135"/>
      <c r="AI34" s="68"/>
      <c r="AJ34" s="65"/>
      <c r="AK34" s="136"/>
      <c r="AL34" s="136"/>
      <c r="AM34" s="135"/>
      <c r="AN34" s="137"/>
      <c r="AO34" s="65"/>
      <c r="AP34" s="136"/>
      <c r="AQ34" s="136"/>
      <c r="AR34" s="135"/>
      <c r="AS34" s="137"/>
      <c r="AT34" s="65"/>
      <c r="AU34" s="136"/>
      <c r="AV34" s="136"/>
      <c r="AW34" s="135"/>
      <c r="AX34" s="68"/>
      <c r="AY34" s="65"/>
      <c r="AZ34" s="136"/>
      <c r="BA34" s="138"/>
      <c r="BB34" s="135"/>
      <c r="BC34" s="65"/>
      <c r="BD34" s="65"/>
      <c r="BE34" s="120"/>
      <c r="BF34" s="120"/>
      <c r="BG34" s="123"/>
      <c r="BH34" s="121"/>
      <c r="BI34" s="125"/>
      <c r="BJ34" s="139"/>
      <c r="BK34" s="125"/>
      <c r="BL34" s="140"/>
      <c r="BM34" s="125"/>
      <c r="BN34" s="125"/>
      <c r="BO34" s="139"/>
      <c r="BP34" s="125"/>
      <c r="BQ34" s="140"/>
      <c r="BR34" s="125"/>
      <c r="BS34" s="125"/>
      <c r="BT34" s="139"/>
      <c r="BU34" s="149"/>
      <c r="BV34" s="140"/>
      <c r="BW34" s="125"/>
      <c r="BX34" s="125"/>
      <c r="BY34" s="141" t="e">
        <f t="shared" si="14"/>
        <v>#VALUE!</v>
      </c>
      <c r="BZ34" s="142"/>
      <c r="CA34" s="64" t="s">
        <v>223</v>
      </c>
    </row>
    <row r="35" ht="15.75" customHeight="1" spans="1:79" x14ac:dyDescent="0.25">
      <c r="A35" s="115">
        <f t="shared" si="18"/>
        <v>13</v>
      </c>
      <c r="B35" s="153" t="s">
        <v>224</v>
      </c>
      <c r="C35" s="118" t="s">
        <v>225</v>
      </c>
      <c r="D35" s="118" t="s">
        <v>178</v>
      </c>
      <c r="E35" s="118" t="s">
        <v>179</v>
      </c>
      <c r="F35" s="118" t="s">
        <v>180</v>
      </c>
      <c r="G35" s="117" t="str">
        <f t="shared" si="0"/>
        <v>SYSYEMEXE_FLUZO</v>
      </c>
      <c r="H35" s="119"/>
      <c r="I35" s="150"/>
      <c r="J35" s="145"/>
      <c r="K35" s="122"/>
      <c r="L35" s="146">
        <v>0</v>
      </c>
      <c r="M35" s="146"/>
      <c r="N35" s="145"/>
      <c r="O35" s="124">
        <v>0</v>
      </c>
      <c r="P35" s="125">
        <v>0</v>
      </c>
      <c r="Q35" s="125">
        <v>0</v>
      </c>
      <c r="R35" s="125"/>
      <c r="S35" s="125"/>
      <c r="T35" s="125"/>
      <c r="U35" s="125"/>
      <c r="V35" s="125">
        <v>0</v>
      </c>
      <c r="W35" s="125"/>
      <c r="X35" s="125"/>
      <c r="Y35" s="126"/>
      <c r="Z35" s="127">
        <v>0</v>
      </c>
      <c r="AA35" s="128">
        <v>0</v>
      </c>
      <c r="AB35" s="129">
        <f t="shared" si="1"/>
        <v>0</v>
      </c>
      <c r="AC35" s="130"/>
      <c r="AD35" s="131" t="str">
        <f t="shared" si="2"/>
        <v>FLUZO</v>
      </c>
      <c r="AE35" s="132"/>
      <c r="AF35" s="132"/>
      <c r="AG35" s="136"/>
      <c r="AH35" s="135"/>
      <c r="AI35" s="68"/>
      <c r="AJ35" s="65"/>
      <c r="AK35" s="136"/>
      <c r="AL35" s="136"/>
      <c r="AM35" s="135"/>
      <c r="AN35" s="137"/>
      <c r="AO35" s="65"/>
      <c r="AP35" s="136"/>
      <c r="AQ35" s="136"/>
      <c r="AR35" s="135"/>
      <c r="AS35" s="137"/>
      <c r="AT35" s="65"/>
      <c r="AU35" s="136"/>
      <c r="AV35" s="136"/>
      <c r="AW35" s="135"/>
      <c r="AX35" s="68"/>
      <c r="AY35" s="65"/>
      <c r="AZ35" s="136"/>
      <c r="BA35" s="138"/>
      <c r="BB35" s="135"/>
      <c r="BC35" s="65"/>
      <c r="BD35" s="65"/>
      <c r="BE35" s="120"/>
      <c r="BF35" s="120"/>
      <c r="BG35" s="123"/>
      <c r="BH35" s="121"/>
      <c r="BI35" s="125"/>
      <c r="BJ35" s="139"/>
      <c r="BK35" s="125"/>
      <c r="BL35" s="140"/>
      <c r="BM35" s="125"/>
      <c r="BN35" s="125"/>
      <c r="BO35" s="139"/>
      <c r="BP35" s="125"/>
      <c r="BQ35" s="140"/>
      <c r="BR35" s="125"/>
      <c r="BS35" s="125"/>
      <c r="BT35" s="139"/>
      <c r="BU35" s="149"/>
      <c r="BV35" s="140"/>
      <c r="BW35" s="125"/>
      <c r="BX35" s="125"/>
      <c r="BY35" s="141" t="e">
        <f t="shared" si="14"/>
        <v>#VALUE!</v>
      </c>
      <c r="BZ35" s="142"/>
      <c r="CA35" s="64"/>
    </row>
    <row r="36" ht="15.75" customHeight="1" spans="1:79" x14ac:dyDescent="0.25">
      <c r="A36" s="115">
        <v>12</v>
      </c>
      <c r="B36" s="153" t="s">
        <v>226</v>
      </c>
      <c r="C36" s="118" t="s">
        <v>227</v>
      </c>
      <c r="D36" s="118" t="s">
        <v>178</v>
      </c>
      <c r="E36" s="118" t="s">
        <v>179</v>
      </c>
      <c r="F36" s="118" t="s">
        <v>191</v>
      </c>
      <c r="G36" s="117" t="str">
        <f t="shared" si="0"/>
        <v>ZINZA_Zinza</v>
      </c>
      <c r="H36" s="119"/>
      <c r="I36" s="150"/>
      <c r="J36" s="145"/>
      <c r="K36" s="122"/>
      <c r="L36" s="146">
        <v>0</v>
      </c>
      <c r="M36" s="146"/>
      <c r="N36" s="145"/>
      <c r="O36" s="124">
        <v>0</v>
      </c>
      <c r="P36" s="125">
        <v>0</v>
      </c>
      <c r="Q36" s="125">
        <v>0</v>
      </c>
      <c r="R36" s="125"/>
      <c r="S36" s="125"/>
      <c r="T36" s="125"/>
      <c r="U36" s="125"/>
      <c r="V36" s="125">
        <v>0</v>
      </c>
      <c r="W36" s="125"/>
      <c r="X36" s="125"/>
      <c r="Y36" s="126"/>
      <c r="Z36" s="127">
        <v>0</v>
      </c>
      <c r="AA36" s="128">
        <v>0</v>
      </c>
      <c r="AB36" s="129">
        <f t="shared" si="1"/>
        <v>0</v>
      </c>
      <c r="AC36" s="130"/>
      <c r="AD36" s="131" t="str">
        <f t="shared" si="2"/>
        <v>Zinza</v>
      </c>
      <c r="AE36" s="132"/>
      <c r="AF36" s="132"/>
      <c r="AG36" s="136"/>
      <c r="AH36" s="135"/>
      <c r="AI36" s="68"/>
      <c r="AJ36" s="65"/>
      <c r="AK36" s="136"/>
      <c r="AL36" s="136"/>
      <c r="AM36" s="135"/>
      <c r="AN36" s="137"/>
      <c r="AO36" s="65"/>
      <c r="AP36" s="136"/>
      <c r="AQ36" s="136"/>
      <c r="AR36" s="135"/>
      <c r="AS36" s="137"/>
      <c r="AT36" s="65"/>
      <c r="AU36" s="136"/>
      <c r="AV36" s="136"/>
      <c r="AW36" s="135"/>
      <c r="AX36" s="68"/>
      <c r="AY36" s="65"/>
      <c r="AZ36" s="136"/>
      <c r="BA36" s="138"/>
      <c r="BB36" s="135"/>
      <c r="BC36" s="65"/>
      <c r="BD36" s="65"/>
      <c r="BE36" s="120"/>
      <c r="BF36" s="120"/>
      <c r="BG36" s="123"/>
      <c r="BH36" s="121"/>
      <c r="BI36" s="125"/>
      <c r="BJ36" s="139"/>
      <c r="BK36" s="125"/>
      <c r="BL36" s="140"/>
      <c r="BM36" s="125"/>
      <c r="BN36" s="125"/>
      <c r="BO36" s="139"/>
      <c r="BP36" s="125"/>
      <c r="BQ36" s="140"/>
      <c r="BR36" s="125"/>
      <c r="BS36" s="125"/>
      <c r="BT36" s="139"/>
      <c r="BU36" s="149"/>
      <c r="BV36" s="140"/>
      <c r="BW36" s="125"/>
      <c r="BX36" s="125"/>
      <c r="BY36" s="141" t="e">
        <f t="shared" si="14"/>
        <v>#VALUE!</v>
      </c>
      <c r="BZ36" s="142"/>
      <c r="CA36" s="64"/>
    </row>
    <row r="37" ht="15.75" customHeight="1" spans="1:79" x14ac:dyDescent="0.25">
      <c r="A37" s="115">
        <f t="shared" ref="A37:A38" si="19">IF(C37="","",A36+1)</f>
        <v>13</v>
      </c>
      <c r="B37" s="153" t="s">
        <v>228</v>
      </c>
      <c r="C37" s="118" t="s">
        <v>229</v>
      </c>
      <c r="D37" s="118" t="s">
        <v>178</v>
      </c>
      <c r="E37" s="118" t="s">
        <v>179</v>
      </c>
      <c r="F37" s="118" t="s">
        <v>191</v>
      </c>
      <c r="G37" s="117" t="str">
        <f t="shared" si="0"/>
        <v>NDH_Casoni</v>
      </c>
      <c r="H37" s="119"/>
      <c r="I37" s="150"/>
      <c r="J37" s="145"/>
      <c r="K37" s="122"/>
      <c r="L37" s="146">
        <v>0</v>
      </c>
      <c r="M37" s="146"/>
      <c r="N37" s="145"/>
      <c r="O37" s="124">
        <v>0</v>
      </c>
      <c r="P37" s="125">
        <v>0</v>
      </c>
      <c r="Q37" s="125">
        <v>0</v>
      </c>
      <c r="R37" s="125"/>
      <c r="S37" s="125"/>
      <c r="T37" s="125"/>
      <c r="U37" s="125"/>
      <c r="V37" s="125">
        <v>0</v>
      </c>
      <c r="W37" s="125"/>
      <c r="X37" s="125"/>
      <c r="Y37" s="126"/>
      <c r="Z37" s="127">
        <v>0</v>
      </c>
      <c r="AA37" s="128">
        <v>0</v>
      </c>
      <c r="AB37" s="129">
        <f t="shared" si="1"/>
        <v>0</v>
      </c>
      <c r="AC37" s="130"/>
      <c r="AD37" s="131" t="str">
        <f t="shared" si="2"/>
        <v>Casoni</v>
      </c>
      <c r="AE37" s="132"/>
      <c r="AF37" s="132"/>
      <c r="AG37" s="136"/>
      <c r="AH37" s="135"/>
      <c r="AI37" s="135"/>
      <c r="AJ37" s="65"/>
      <c r="AK37" s="136"/>
      <c r="AL37" s="136"/>
      <c r="AM37" s="135"/>
      <c r="AN37" s="137"/>
      <c r="AO37" s="65"/>
      <c r="AP37" s="136"/>
      <c r="AQ37" s="136"/>
      <c r="AR37" s="135"/>
      <c r="AS37" s="137"/>
      <c r="AT37" s="65"/>
      <c r="AU37" s="136"/>
      <c r="AV37" s="136"/>
      <c r="AW37" s="135"/>
      <c r="AX37" s="68"/>
      <c r="AY37" s="65"/>
      <c r="AZ37" s="136"/>
      <c r="BA37" s="138"/>
      <c r="BB37" s="135"/>
      <c r="BC37" s="65"/>
      <c r="BD37" s="65"/>
      <c r="BE37" s="120"/>
      <c r="BF37" s="120"/>
      <c r="BG37" s="123"/>
      <c r="BH37" s="121"/>
      <c r="BI37" s="125"/>
      <c r="BJ37" s="139"/>
      <c r="BK37" s="125"/>
      <c r="BL37" s="140"/>
      <c r="BM37" s="125"/>
      <c r="BN37" s="125"/>
      <c r="BO37" s="139"/>
      <c r="BP37" s="125"/>
      <c r="BQ37" s="140"/>
      <c r="BR37" s="125"/>
      <c r="BS37" s="125"/>
      <c r="BT37" s="139"/>
      <c r="BU37" s="149"/>
      <c r="BV37" s="140"/>
      <c r="BW37" s="125"/>
      <c r="BX37" s="125"/>
      <c r="BY37" s="141" t="e">
        <f t="shared" si="14"/>
        <v>#VALUE!</v>
      </c>
      <c r="BZ37" s="142"/>
      <c r="CA37" s="65">
        <v>30240274</v>
      </c>
    </row>
    <row r="38" ht="15.75" customHeight="1" spans="1:79" x14ac:dyDescent="0.25">
      <c r="A38" s="115">
        <f t="shared" si="19"/>
        <v>14</v>
      </c>
      <c r="B38" s="153" t="s">
        <v>230</v>
      </c>
      <c r="C38" s="118" t="s">
        <v>231</v>
      </c>
      <c r="D38" s="118" t="s">
        <v>178</v>
      </c>
      <c r="E38" s="118" t="s">
        <v>194</v>
      </c>
      <c r="F38" s="118" t="s">
        <v>180</v>
      </c>
      <c r="G38" s="117" t="str">
        <f t="shared" si="0"/>
        <v>Hitek_Hitek_Seegman</v>
      </c>
      <c r="H38" s="119"/>
      <c r="I38" s="150"/>
      <c r="J38" s="145"/>
      <c r="K38" s="122"/>
      <c r="L38" s="146">
        <v>0</v>
      </c>
      <c r="M38" s="146"/>
      <c r="N38" s="145"/>
      <c r="O38" s="124">
        <v>0</v>
      </c>
      <c r="P38" s="125">
        <v>0</v>
      </c>
      <c r="Q38" s="125">
        <v>0</v>
      </c>
      <c r="R38" s="125"/>
      <c r="S38" s="125"/>
      <c r="T38" s="125"/>
      <c r="U38" s="125"/>
      <c r="V38" s="125">
        <v>0</v>
      </c>
      <c r="W38" s="125"/>
      <c r="X38" s="125"/>
      <c r="Y38" s="126"/>
      <c r="Z38" s="127">
        <v>0</v>
      </c>
      <c r="AA38" s="128">
        <v>0</v>
      </c>
      <c r="AB38" s="129">
        <f t="shared" si="1"/>
        <v>0</v>
      </c>
      <c r="AC38" s="130"/>
      <c r="AD38" s="131" t="str">
        <f t="shared" si="2"/>
        <v>Hitek_Seegman</v>
      </c>
      <c r="AE38" s="132"/>
      <c r="AF38" s="132"/>
      <c r="AG38" s="136"/>
      <c r="AH38" s="135"/>
      <c r="AI38" s="135"/>
      <c r="AJ38" s="65"/>
      <c r="AK38" s="136"/>
      <c r="AL38" s="136"/>
      <c r="AM38" s="135"/>
      <c r="AN38" s="137"/>
      <c r="AO38" s="65"/>
      <c r="AP38" s="136"/>
      <c r="AQ38" s="136"/>
      <c r="AR38" s="135"/>
      <c r="AS38" s="137"/>
      <c r="AT38" s="65"/>
      <c r="AU38" s="136"/>
      <c r="AV38" s="136"/>
      <c r="AW38" s="135"/>
      <c r="AX38" s="68"/>
      <c r="AY38" s="65"/>
      <c r="AZ38" s="136"/>
      <c r="BA38" s="138"/>
      <c r="BB38" s="135"/>
      <c r="BC38" s="65"/>
      <c r="BD38" s="65"/>
      <c r="BE38" s="120"/>
      <c r="BF38" s="120"/>
      <c r="BG38" s="123"/>
      <c r="BH38" s="121"/>
      <c r="BI38" s="125"/>
      <c r="BJ38" s="139"/>
      <c r="BK38" s="125"/>
      <c r="BL38" s="140"/>
      <c r="BM38" s="125"/>
      <c r="BN38" s="125"/>
      <c r="BO38" s="139"/>
      <c r="BP38" s="125"/>
      <c r="BQ38" s="140"/>
      <c r="BR38" s="125"/>
      <c r="BS38" s="125"/>
      <c r="BT38" s="139"/>
      <c r="BU38" s="149"/>
      <c r="BV38" s="140"/>
      <c r="BW38" s="125"/>
      <c r="BX38" s="125"/>
      <c r="BY38" s="141" t="e">
        <f t="shared" si="14"/>
        <v>#VALUE!</v>
      </c>
      <c r="BZ38" s="142"/>
      <c r="CA38" s="64"/>
    </row>
    <row r="39" ht="15.75" customHeight="1" spans="1:79" x14ac:dyDescent="0.25">
      <c r="A39" s="115">
        <v>13</v>
      </c>
      <c r="B39" s="118"/>
      <c r="C39" s="118" t="s">
        <v>232</v>
      </c>
      <c r="D39" s="118" t="s">
        <v>178</v>
      </c>
      <c r="E39" s="118" t="s">
        <v>194</v>
      </c>
      <c r="F39" s="118" t="s">
        <v>180</v>
      </c>
      <c r="G39" s="117" t="str">
        <f t="shared" si="0"/>
        <v>_Hitek_Allone2</v>
      </c>
      <c r="H39" s="119"/>
      <c r="I39" s="150"/>
      <c r="J39" s="145"/>
      <c r="K39" s="122"/>
      <c r="L39" s="146">
        <v>0</v>
      </c>
      <c r="M39" s="146"/>
      <c r="N39" s="145"/>
      <c r="O39" s="124">
        <v>0</v>
      </c>
      <c r="P39" s="125">
        <v>0</v>
      </c>
      <c r="Q39" s="125">
        <v>0</v>
      </c>
      <c r="R39" s="125"/>
      <c r="S39" s="125"/>
      <c r="T39" s="125"/>
      <c r="U39" s="125"/>
      <c r="V39" s="125">
        <v>0</v>
      </c>
      <c r="W39" s="125"/>
      <c r="X39" s="125"/>
      <c r="Y39" s="126"/>
      <c r="Z39" s="127">
        <v>0</v>
      </c>
      <c r="AA39" s="128">
        <v>0</v>
      </c>
      <c r="AB39" s="129">
        <f t="shared" si="1"/>
        <v>0</v>
      </c>
      <c r="AC39" s="130"/>
      <c r="AD39" s="131" t="str">
        <f t="shared" si="2"/>
        <v>Hitek_Allone2</v>
      </c>
      <c r="AE39" s="132"/>
      <c r="AF39" s="132"/>
      <c r="AG39" s="136"/>
      <c r="AH39" s="135"/>
      <c r="AI39" s="135"/>
      <c r="AJ39" s="65"/>
      <c r="AK39" s="136"/>
      <c r="AL39" s="136"/>
      <c r="AM39" s="135"/>
      <c r="AN39" s="137"/>
      <c r="AO39" s="65"/>
      <c r="AP39" s="136"/>
      <c r="AQ39" s="136"/>
      <c r="AR39" s="135"/>
      <c r="AS39" s="137"/>
      <c r="AT39" s="65"/>
      <c r="AU39" s="136"/>
      <c r="AV39" s="136"/>
      <c r="AW39" s="135"/>
      <c r="AX39" s="68"/>
      <c r="AY39" s="65"/>
      <c r="AZ39" s="136"/>
      <c r="BA39" s="138"/>
      <c r="BB39" s="135"/>
      <c r="BC39" s="65"/>
      <c r="BD39" s="65"/>
      <c r="BE39" s="120"/>
      <c r="BF39" s="120"/>
      <c r="BG39" s="123"/>
      <c r="BH39" s="121"/>
      <c r="BI39" s="125"/>
      <c r="BJ39" s="139"/>
      <c r="BK39" s="125"/>
      <c r="BL39" s="140"/>
      <c r="BM39" s="125"/>
      <c r="BN39" s="125"/>
      <c r="BO39" s="139"/>
      <c r="BP39" s="125"/>
      <c r="BQ39" s="140"/>
      <c r="BR39" s="125"/>
      <c r="BS39" s="125"/>
      <c r="BT39" s="139"/>
      <c r="BU39" s="149"/>
      <c r="BV39" s="140"/>
      <c r="BW39" s="125"/>
      <c r="BX39" s="125"/>
      <c r="BY39" s="141" t="e">
        <f t="shared" si="14"/>
        <v>#VALUE!</v>
      </c>
      <c r="BZ39" s="142"/>
      <c r="CA39" s="64"/>
    </row>
    <row r="40" ht="15.75" customHeight="1" spans="1:79" x14ac:dyDescent="0.25">
      <c r="A40" s="115">
        <f t="shared" ref="A40:A41" si="20">IF(C40="","",A39+1)</f>
        <v>14</v>
      </c>
      <c r="B40" s="118"/>
      <c r="C40" s="118" t="s">
        <v>233</v>
      </c>
      <c r="D40" s="118" t="s">
        <v>178</v>
      </c>
      <c r="E40" s="118" t="s">
        <v>194</v>
      </c>
      <c r="F40" s="118" t="s">
        <v>180</v>
      </c>
      <c r="G40" s="117" t="str">
        <f t="shared" si="0"/>
        <v>_Hitek_240 APIs</v>
      </c>
      <c r="H40" s="119"/>
      <c r="I40" s="150"/>
      <c r="J40" s="145"/>
      <c r="K40" s="122"/>
      <c r="L40" s="146">
        <v>0</v>
      </c>
      <c r="M40" s="146"/>
      <c r="N40" s="145"/>
      <c r="O40" s="124">
        <v>0</v>
      </c>
      <c r="P40" s="125">
        <v>0</v>
      </c>
      <c r="Q40" s="125">
        <v>0</v>
      </c>
      <c r="R40" s="125"/>
      <c r="S40" s="125"/>
      <c r="T40" s="125"/>
      <c r="U40" s="125"/>
      <c r="V40" s="125">
        <v>0</v>
      </c>
      <c r="W40" s="125"/>
      <c r="X40" s="125"/>
      <c r="Y40" s="126"/>
      <c r="Z40" s="127">
        <v>0</v>
      </c>
      <c r="AA40" s="128">
        <v>0</v>
      </c>
      <c r="AB40" s="129">
        <f t="shared" si="1"/>
        <v>0</v>
      </c>
      <c r="AC40" s="130"/>
      <c r="AD40" s="131" t="str">
        <f t="shared" si="2"/>
        <v>Hitek_240 APIs</v>
      </c>
      <c r="AE40" s="132"/>
      <c r="AF40" s="132"/>
      <c r="AG40" s="136"/>
      <c r="AH40" s="135"/>
      <c r="AI40" s="135"/>
      <c r="AJ40" s="65"/>
      <c r="AK40" s="136"/>
      <c r="AL40" s="136"/>
      <c r="AM40" s="135"/>
      <c r="AN40" s="137"/>
      <c r="AO40" s="65"/>
      <c r="AP40" s="136"/>
      <c r="AQ40" s="136"/>
      <c r="AR40" s="135"/>
      <c r="AS40" s="137"/>
      <c r="AT40" s="65"/>
      <c r="AU40" s="136"/>
      <c r="AV40" s="136"/>
      <c r="AW40" s="135"/>
      <c r="AX40" s="68"/>
      <c r="AY40" s="65"/>
      <c r="AZ40" s="136"/>
      <c r="BA40" s="138"/>
      <c r="BB40" s="135"/>
      <c r="BC40" s="65"/>
      <c r="BD40" s="65"/>
      <c r="BE40" s="120"/>
      <c r="BF40" s="120"/>
      <c r="BG40" s="123"/>
      <c r="BH40" s="121"/>
      <c r="BI40" s="125"/>
      <c r="BJ40" s="139"/>
      <c r="BK40" s="125"/>
      <c r="BL40" s="140"/>
      <c r="BM40" s="125"/>
      <c r="BN40" s="125"/>
      <c r="BO40" s="139"/>
      <c r="BP40" s="125"/>
      <c r="BQ40" s="140"/>
      <c r="BR40" s="125"/>
      <c r="BS40" s="125"/>
      <c r="BT40" s="139"/>
      <c r="BU40" s="149"/>
      <c r="BV40" s="140"/>
      <c r="BW40" s="125"/>
      <c r="BX40" s="125"/>
      <c r="BY40" s="141" t="e">
        <f t="shared" si="14"/>
        <v>#VALUE!</v>
      </c>
      <c r="BZ40" s="142"/>
      <c r="CA40" s="64"/>
    </row>
    <row r="41" ht="15.75" customHeight="1" spans="1:79" x14ac:dyDescent="0.25">
      <c r="A41" s="115">
        <f t="shared" si="20"/>
        <v>15</v>
      </c>
      <c r="B41" s="118"/>
      <c r="C41" s="118" t="s">
        <v>234</v>
      </c>
      <c r="D41" s="118" t="s">
        <v>178</v>
      </c>
      <c r="E41" s="118" t="s">
        <v>194</v>
      </c>
      <c r="F41" s="118" t="s">
        <v>180</v>
      </c>
      <c r="G41" s="117" t="str">
        <f t="shared" si="0"/>
        <v>_Hitek_80 Pages Vuejs</v>
      </c>
      <c r="H41" s="119"/>
      <c r="I41" s="150"/>
      <c r="J41" s="145"/>
      <c r="K41" s="122"/>
      <c r="L41" s="146">
        <v>0</v>
      </c>
      <c r="M41" s="146"/>
      <c r="N41" s="145"/>
      <c r="O41" s="124">
        <v>0</v>
      </c>
      <c r="P41" s="125">
        <v>0</v>
      </c>
      <c r="Q41" s="125">
        <v>0</v>
      </c>
      <c r="R41" s="125"/>
      <c r="S41" s="125"/>
      <c r="T41" s="125"/>
      <c r="U41" s="125"/>
      <c r="V41" s="125">
        <v>0</v>
      </c>
      <c r="W41" s="125"/>
      <c r="X41" s="125"/>
      <c r="Y41" s="126"/>
      <c r="Z41" s="127">
        <v>0</v>
      </c>
      <c r="AA41" s="128">
        <v>0</v>
      </c>
      <c r="AB41" s="129">
        <f t="shared" si="1"/>
        <v>0</v>
      </c>
      <c r="AC41" s="160">
        <f>Z41/0.58</f>
        <v>0</v>
      </c>
      <c r="AD41" s="131" t="str">
        <f t="shared" si="2"/>
        <v>Hitek_80 Pages Vuejs</v>
      </c>
      <c r="AE41" s="132"/>
      <c r="AF41" s="132"/>
      <c r="AG41" s="136"/>
      <c r="AH41" s="135"/>
      <c r="AI41" s="135"/>
      <c r="AJ41" s="65"/>
      <c r="AK41" s="136"/>
      <c r="AL41" s="136"/>
      <c r="AM41" s="135"/>
      <c r="AN41" s="137"/>
      <c r="AO41" s="65"/>
      <c r="AP41" s="136"/>
      <c r="AQ41" s="136"/>
      <c r="AR41" s="135"/>
      <c r="AS41" s="137"/>
      <c r="AT41" s="65"/>
      <c r="AU41" s="136"/>
      <c r="AV41" s="136"/>
      <c r="AW41" s="135"/>
      <c r="AX41" s="68"/>
      <c r="AY41" s="65"/>
      <c r="AZ41" s="136"/>
      <c r="BA41" s="138"/>
      <c r="BB41" s="135"/>
      <c r="BC41" s="65"/>
      <c r="BD41" s="65"/>
      <c r="BE41" s="161"/>
      <c r="BF41" s="120"/>
      <c r="BG41" s="140"/>
      <c r="BH41" s="121"/>
      <c r="BI41" s="125"/>
      <c r="BJ41" s="139"/>
      <c r="BK41" s="125"/>
      <c r="BL41" s="140"/>
      <c r="BM41" s="125"/>
      <c r="BN41" s="125"/>
      <c r="BO41" s="139"/>
      <c r="BP41" s="125"/>
      <c r="BQ41" s="140"/>
      <c r="BR41" s="125"/>
      <c r="BS41" s="125"/>
      <c r="BT41" s="139"/>
      <c r="BU41" s="149"/>
      <c r="BV41" s="140"/>
      <c r="BW41" s="125"/>
      <c r="BX41" s="125"/>
      <c r="BY41" s="141" t="e">
        <f t="shared" si="14"/>
        <v>#VALUE!</v>
      </c>
      <c r="BZ41" s="142"/>
      <c r="CA41" s="64"/>
    </row>
    <row r="42" ht="15.75" customHeight="1" spans="1:79" x14ac:dyDescent="0.25">
      <c r="A42" s="115">
        <v>14</v>
      </c>
      <c r="B42" s="118"/>
      <c r="C42" s="118" t="s">
        <v>235</v>
      </c>
      <c r="D42" s="118" t="s">
        <v>178</v>
      </c>
      <c r="E42" s="118" t="s">
        <v>194</v>
      </c>
      <c r="F42" s="118" t="s">
        <v>180</v>
      </c>
      <c r="G42" s="117" t="str">
        <f t="shared" si="0"/>
        <v>_Hitek_World Burger</v>
      </c>
      <c r="H42" s="119"/>
      <c r="I42" s="150"/>
      <c r="J42" s="145"/>
      <c r="K42" s="122"/>
      <c r="L42" s="146">
        <v>0</v>
      </c>
      <c r="M42" s="146"/>
      <c r="N42" s="145"/>
      <c r="O42" s="124">
        <v>0</v>
      </c>
      <c r="P42" s="125">
        <v>0</v>
      </c>
      <c r="Q42" s="125">
        <v>0</v>
      </c>
      <c r="R42" s="125"/>
      <c r="S42" s="125"/>
      <c r="T42" s="125"/>
      <c r="U42" s="125"/>
      <c r="V42" s="125">
        <v>0</v>
      </c>
      <c r="W42" s="125"/>
      <c r="X42" s="125"/>
      <c r="Y42" s="126"/>
      <c r="Z42" s="127">
        <v>0</v>
      </c>
      <c r="AA42" s="128">
        <v>0</v>
      </c>
      <c r="AB42" s="129">
        <f t="shared" si="1"/>
        <v>0</v>
      </c>
      <c r="AC42" s="130"/>
      <c r="AD42" s="131" t="str">
        <f t="shared" si="2"/>
        <v>Hitek_World Burger</v>
      </c>
      <c r="AE42" s="132"/>
      <c r="AF42" s="132"/>
      <c r="AG42" s="136"/>
      <c r="AH42" s="135"/>
      <c r="AI42" s="135"/>
      <c r="AJ42" s="65"/>
      <c r="AK42" s="136"/>
      <c r="AL42" s="162"/>
      <c r="AM42" s="135"/>
      <c r="AN42" s="137"/>
      <c r="AO42" s="65"/>
      <c r="AP42" s="136"/>
      <c r="AQ42" s="136"/>
      <c r="AR42" s="135"/>
      <c r="AS42" s="137"/>
      <c r="AT42" s="65"/>
      <c r="AU42" s="136"/>
      <c r="AV42" s="136"/>
      <c r="AW42" s="135"/>
      <c r="AX42" s="68"/>
      <c r="AY42" s="65"/>
      <c r="AZ42" s="136"/>
      <c r="BA42" s="138"/>
      <c r="BB42" s="135"/>
      <c r="BC42" s="65"/>
      <c r="BD42" s="65"/>
      <c r="BE42" s="120"/>
      <c r="BF42" s="120"/>
      <c r="BG42" s="123"/>
      <c r="BH42" s="121"/>
      <c r="BI42" s="125"/>
      <c r="BJ42" s="139"/>
      <c r="BK42" s="125"/>
      <c r="BL42" s="140"/>
      <c r="BM42" s="125"/>
      <c r="BN42" s="125"/>
      <c r="BO42" s="139"/>
      <c r="BP42" s="125"/>
      <c r="BQ42" s="140"/>
      <c r="BR42" s="125"/>
      <c r="BS42" s="125"/>
      <c r="BT42" s="139"/>
      <c r="BU42" s="149"/>
      <c r="BV42" s="140"/>
      <c r="BW42" s="125"/>
      <c r="BX42" s="125"/>
      <c r="BY42" s="141" t="e">
        <f t="shared" si="14"/>
        <v>#VALUE!</v>
      </c>
      <c r="BZ42" s="142"/>
      <c r="CA42" s="64"/>
    </row>
    <row r="43" spans="1:79" x14ac:dyDescent="0.25">
      <c r="A43" s="115">
        <f t="shared" ref="A43:A44" si="21">IF(C43="","",A42+1)</f>
        <v>15</v>
      </c>
      <c r="B43" s="118"/>
      <c r="C43" s="118" t="s">
        <v>236</v>
      </c>
      <c r="D43" s="118" t="s">
        <v>178</v>
      </c>
      <c r="E43" s="118" t="s">
        <v>194</v>
      </c>
      <c r="F43" s="118" t="s">
        <v>180</v>
      </c>
      <c r="G43" s="117" t="str">
        <f t="shared" si="0"/>
        <v>_Hitek_Fillme</v>
      </c>
      <c r="H43" s="119"/>
      <c r="I43" s="150"/>
      <c r="J43" s="145"/>
      <c r="K43" s="122"/>
      <c r="L43" s="146">
        <v>0</v>
      </c>
      <c r="M43" s="146"/>
      <c r="N43" s="145"/>
      <c r="O43" s="124">
        <v>0</v>
      </c>
      <c r="P43" s="125">
        <v>0</v>
      </c>
      <c r="Q43" s="125">
        <v>0</v>
      </c>
      <c r="R43" s="125"/>
      <c r="S43" s="125"/>
      <c r="T43" s="125"/>
      <c r="U43" s="125"/>
      <c r="V43" s="125">
        <v>0</v>
      </c>
      <c r="W43" s="125"/>
      <c r="X43" s="125"/>
      <c r="Y43" s="126"/>
      <c r="Z43" s="127">
        <v>0</v>
      </c>
      <c r="AA43" s="128">
        <v>0</v>
      </c>
      <c r="AB43" s="119"/>
      <c r="AC43" s="130"/>
      <c r="AD43" s="131" t="str">
        <f t="shared" si="2"/>
        <v>Hitek_Fillme</v>
      </c>
      <c r="AE43" s="132"/>
      <c r="AF43" s="132"/>
      <c r="AG43" s="136"/>
      <c r="AH43" s="135"/>
      <c r="AI43" s="135"/>
      <c r="AJ43" s="65"/>
      <c r="AK43" s="136"/>
      <c r="AL43" s="162"/>
      <c r="AM43" s="135"/>
      <c r="AN43" s="137"/>
      <c r="AO43" s="65"/>
      <c r="AP43" s="136"/>
      <c r="AQ43" s="136"/>
      <c r="AR43" s="135"/>
      <c r="AS43" s="137"/>
      <c r="AT43" s="65"/>
      <c r="AU43" s="136"/>
      <c r="AV43" s="136"/>
      <c r="AW43" s="135"/>
      <c r="AX43" s="68"/>
      <c r="AY43" s="65"/>
      <c r="AZ43" s="136"/>
      <c r="BA43" s="138"/>
      <c r="BB43" s="135"/>
      <c r="BC43" s="65"/>
      <c r="BD43" s="65"/>
      <c r="BE43" s="120"/>
      <c r="BF43" s="120"/>
      <c r="BG43" s="123"/>
      <c r="BH43" s="121"/>
      <c r="BI43" s="125"/>
      <c r="BJ43" s="139"/>
      <c r="BK43" s="125"/>
      <c r="BL43" s="140"/>
      <c r="BM43" s="125"/>
      <c r="BN43" s="125"/>
      <c r="BO43" s="139"/>
      <c r="BP43" s="125"/>
      <c r="BQ43" s="140"/>
      <c r="BR43" s="125"/>
      <c r="BS43" s="125"/>
      <c r="BT43" s="139"/>
      <c r="BU43" s="149"/>
      <c r="BV43" s="140"/>
      <c r="BW43" s="125"/>
      <c r="BX43" s="125"/>
      <c r="BY43" s="141"/>
      <c r="BZ43" s="142"/>
      <c r="CA43" s="64"/>
    </row>
    <row r="44" spans="1:79" x14ac:dyDescent="0.25">
      <c r="A44" s="115">
        <f t="shared" si="21"/>
        <v>16</v>
      </c>
      <c r="B44" s="153" t="s">
        <v>237</v>
      </c>
      <c r="C44" s="118" t="s">
        <v>238</v>
      </c>
      <c r="D44" s="118" t="s">
        <v>178</v>
      </c>
      <c r="E44" s="118" t="s">
        <v>194</v>
      </c>
      <c r="F44" s="118" t="s">
        <v>180</v>
      </c>
      <c r="G44" s="117" t="str">
        <f t="shared" si="0"/>
        <v>Store 4H_TRANHAN</v>
      </c>
      <c r="H44" s="119"/>
      <c r="I44" s="150"/>
      <c r="J44" s="145"/>
      <c r="K44" s="122"/>
      <c r="L44" s="146">
        <v>0</v>
      </c>
      <c r="M44" s="146"/>
      <c r="N44" s="145"/>
      <c r="O44" s="124">
        <v>0</v>
      </c>
      <c r="P44" s="125">
        <v>0</v>
      </c>
      <c r="Q44" s="125">
        <v>0</v>
      </c>
      <c r="R44" s="125"/>
      <c r="S44" s="125"/>
      <c r="T44" s="125"/>
      <c r="U44" s="125"/>
      <c r="V44" s="125">
        <v>0</v>
      </c>
      <c r="W44" s="125"/>
      <c r="X44" s="125"/>
      <c r="Y44" s="126"/>
      <c r="Z44" s="127">
        <v>0</v>
      </c>
      <c r="AA44" s="128">
        <v>0</v>
      </c>
      <c r="AB44" s="129">
        <f t="shared" ref="AB44:AB118" si="22">AA44+H44</f>
        <v>0</v>
      </c>
      <c r="AC44" s="130"/>
      <c r="AD44" s="131" t="str">
        <f t="shared" si="2"/>
        <v>TRANHAN</v>
      </c>
      <c r="AE44" s="132"/>
      <c r="AF44" s="132"/>
      <c r="AG44" s="136"/>
      <c r="AH44" s="135"/>
      <c r="AI44" s="68"/>
      <c r="AJ44" s="65"/>
      <c r="AK44" s="136"/>
      <c r="AL44" s="136"/>
      <c r="AM44" s="135"/>
      <c r="AN44" s="137"/>
      <c r="AO44" s="65"/>
      <c r="AP44" s="136"/>
      <c r="AQ44" s="136"/>
      <c r="AR44" s="135"/>
      <c r="AS44" s="137"/>
      <c r="AT44" s="65"/>
      <c r="AU44" s="136"/>
      <c r="AV44" s="136"/>
      <c r="AW44" s="135"/>
      <c r="AX44" s="68"/>
      <c r="AY44" s="65"/>
      <c r="AZ44" s="136"/>
      <c r="BA44" s="138"/>
      <c r="BB44" s="135"/>
      <c r="BC44" s="65"/>
      <c r="BD44" s="65"/>
      <c r="BE44" s="120"/>
      <c r="BF44" s="120"/>
      <c r="BG44" s="123"/>
      <c r="BH44" s="121"/>
      <c r="BI44" s="125"/>
      <c r="BJ44" s="139"/>
      <c r="BK44" s="125"/>
      <c r="BL44" s="140"/>
      <c r="BM44" s="125"/>
      <c r="BN44" s="125"/>
      <c r="BO44" s="139"/>
      <c r="BP44" s="125"/>
      <c r="BQ44" s="140"/>
      <c r="BR44" s="125"/>
      <c r="BS44" s="125"/>
      <c r="BT44" s="139"/>
      <c r="BU44" s="149"/>
      <c r="BV44" s="140"/>
      <c r="BW44" s="125"/>
      <c r="BX44" s="125"/>
      <c r="BY44" s="141" t="e">
        <f t="shared" ref="BY44:BY78" si="23">G44+J44</f>
        <v>#VALUE!</v>
      </c>
      <c r="BZ44" s="142"/>
      <c r="CA44" s="64"/>
    </row>
    <row r="45" spans="1:79" x14ac:dyDescent="0.25">
      <c r="A45" s="115">
        <v>15</v>
      </c>
      <c r="B45" s="153" t="s">
        <v>239</v>
      </c>
      <c r="C45" s="118" t="s">
        <v>240</v>
      </c>
      <c r="D45" s="118" t="s">
        <v>183</v>
      </c>
      <c r="E45" s="118" t="s">
        <v>179</v>
      </c>
      <c r="F45" s="118" t="s">
        <v>180</v>
      </c>
      <c r="G45" s="117" t="str">
        <f t="shared" si="0"/>
        <v>Mikko_Seitatech</v>
      </c>
      <c r="H45" s="119"/>
      <c r="I45" s="144"/>
      <c r="J45" s="145">
        <v>72896565</v>
      </c>
      <c r="K45" s="122"/>
      <c r="L45" s="146">
        <v>72896565</v>
      </c>
      <c r="M45" s="147"/>
      <c r="N45" s="145">
        <v>47727273</v>
      </c>
      <c r="O45" s="124"/>
      <c r="P45" s="125">
        <v>47727273</v>
      </c>
      <c r="Q45" s="125">
        <v>25169292</v>
      </c>
      <c r="R45" s="148">
        <v>0.3453</v>
      </c>
      <c r="S45" s="125"/>
      <c r="T45" s="125">
        <v>77163000</v>
      </c>
      <c r="U45" s="125"/>
      <c r="V45" s="125">
        <v>77163000</v>
      </c>
      <c r="W45" s="125"/>
      <c r="X45" s="125">
        <v>36956522</v>
      </c>
      <c r="Y45" s="126"/>
      <c r="Z45" s="127">
        <v>36956522</v>
      </c>
      <c r="AA45" s="128">
        <v>40206478</v>
      </c>
      <c r="AB45" s="129">
        <f t="shared" si="22"/>
        <v>40206478</v>
      </c>
      <c r="AC45" s="130"/>
      <c r="AD45" s="131" t="str">
        <f t="shared" si="2"/>
        <v>Seitatech</v>
      </c>
      <c r="AE45" s="132"/>
      <c r="AF45" s="132"/>
      <c r="AG45" s="163"/>
      <c r="AH45" s="135"/>
      <c r="AI45" s="68"/>
      <c r="AJ45" s="65"/>
      <c r="AK45" s="136"/>
      <c r="AL45" s="136"/>
      <c r="AM45" s="135"/>
      <c r="AN45" s="137"/>
      <c r="AO45" s="65"/>
      <c r="AP45" s="136"/>
      <c r="AQ45" s="136"/>
      <c r="AR45" s="135"/>
      <c r="AS45" s="137"/>
      <c r="AT45" s="65"/>
      <c r="AU45" s="136"/>
      <c r="AV45" s="136"/>
      <c r="AW45" s="135"/>
      <c r="AX45" s="68"/>
      <c r="AY45" s="65"/>
      <c r="AZ45" s="136"/>
      <c r="BA45" s="138"/>
      <c r="BB45" s="135"/>
      <c r="BC45" s="65"/>
      <c r="BD45" s="65"/>
      <c r="BE45" s="120"/>
      <c r="BF45" s="120"/>
      <c r="BG45" s="123"/>
      <c r="BH45" s="121"/>
      <c r="BI45" s="125"/>
      <c r="BJ45" s="139"/>
      <c r="BK45" s="125"/>
      <c r="BL45" s="140"/>
      <c r="BM45" s="125"/>
      <c r="BN45" s="125"/>
      <c r="BO45" s="139"/>
      <c r="BP45" s="125"/>
      <c r="BQ45" s="140"/>
      <c r="BR45" s="125"/>
      <c r="BS45" s="125"/>
      <c r="BT45" s="139"/>
      <c r="BU45" s="149"/>
      <c r="BV45" s="140"/>
      <c r="BW45" s="125"/>
      <c r="BX45" s="125"/>
      <c r="BY45" s="141" t="e">
        <f t="shared" si="23"/>
        <v>#VALUE!</v>
      </c>
      <c r="BZ45" s="142"/>
      <c r="CA45" s="64"/>
    </row>
    <row r="46" spans="1:79" x14ac:dyDescent="0.25">
      <c r="A46" s="115">
        <f t="shared" ref="A46:A47" si="24">IF(C46="","",A45+1)</f>
        <v>16</v>
      </c>
      <c r="B46" s="153" t="s">
        <v>241</v>
      </c>
      <c r="C46" s="118" t="s">
        <v>241</v>
      </c>
      <c r="D46" s="118" t="s">
        <v>183</v>
      </c>
      <c r="E46" s="118"/>
      <c r="F46" s="118" t="s">
        <v>180</v>
      </c>
      <c r="G46" s="117" t="str">
        <f t="shared" si="0"/>
        <v>mPOS_mPOS</v>
      </c>
      <c r="H46" s="119"/>
      <c r="I46" s="150"/>
      <c r="J46" s="145"/>
      <c r="K46" s="122"/>
      <c r="L46" s="146">
        <v>0</v>
      </c>
      <c r="M46" s="146"/>
      <c r="N46" s="145"/>
      <c r="O46" s="124">
        <v>0</v>
      </c>
      <c r="P46" s="125">
        <v>0</v>
      </c>
      <c r="Q46" s="125">
        <v>0</v>
      </c>
      <c r="R46" s="125"/>
      <c r="S46" s="125"/>
      <c r="T46" s="125"/>
      <c r="U46" s="125"/>
      <c r="V46" s="125">
        <v>0</v>
      </c>
      <c r="W46" s="125"/>
      <c r="X46" s="125"/>
      <c r="Y46" s="126"/>
      <c r="Z46" s="127">
        <v>0</v>
      </c>
      <c r="AA46" s="128">
        <v>0</v>
      </c>
      <c r="AB46" s="129">
        <f t="shared" si="22"/>
        <v>0</v>
      </c>
      <c r="AC46" s="130"/>
      <c r="AD46" s="131" t="str">
        <f t="shared" si="2"/>
        <v>mPOS</v>
      </c>
      <c r="AE46" s="132"/>
      <c r="AF46" s="132"/>
      <c r="AG46" s="136"/>
      <c r="AH46" s="135"/>
      <c r="AI46" s="135"/>
      <c r="AJ46" s="65"/>
      <c r="AK46" s="136"/>
      <c r="AL46" s="136"/>
      <c r="AM46" s="135"/>
      <c r="AN46" s="137"/>
      <c r="AO46" s="65"/>
      <c r="AP46" s="136"/>
      <c r="AQ46" s="136"/>
      <c r="AR46" s="135"/>
      <c r="AS46" s="137"/>
      <c r="AT46" s="65"/>
      <c r="AU46" s="136"/>
      <c r="AV46" s="136"/>
      <c r="AW46" s="135"/>
      <c r="AX46" s="68"/>
      <c r="AY46" s="65"/>
      <c r="AZ46" s="136"/>
      <c r="BA46" s="138"/>
      <c r="BB46" s="135"/>
      <c r="BC46" s="65"/>
      <c r="BD46" s="65"/>
      <c r="BE46" s="120"/>
      <c r="BF46" s="120"/>
      <c r="BG46" s="123"/>
      <c r="BH46" s="121"/>
      <c r="BI46" s="125"/>
      <c r="BJ46" s="139"/>
      <c r="BK46" s="125"/>
      <c r="BL46" s="140"/>
      <c r="BM46" s="125"/>
      <c r="BN46" s="125"/>
      <c r="BO46" s="139"/>
      <c r="BP46" s="125"/>
      <c r="BQ46" s="140"/>
      <c r="BR46" s="125"/>
      <c r="BS46" s="125"/>
      <c r="BT46" s="139"/>
      <c r="BU46" s="149"/>
      <c r="BV46" s="140"/>
      <c r="BW46" s="125"/>
      <c r="BX46" s="125"/>
      <c r="BY46" s="141" t="e">
        <f t="shared" si="23"/>
        <v>#VALUE!</v>
      </c>
      <c r="BZ46" s="142"/>
      <c r="CA46" s="64"/>
    </row>
    <row r="47" spans="1:79" x14ac:dyDescent="0.25">
      <c r="A47" s="115">
        <f t="shared" si="24"/>
        <v>17</v>
      </c>
      <c r="B47" s="153" t="s">
        <v>242</v>
      </c>
      <c r="C47" s="118" t="s">
        <v>243</v>
      </c>
      <c r="D47" s="118" t="s">
        <v>183</v>
      </c>
      <c r="E47" s="118"/>
      <c r="F47" s="118" t="s">
        <v>191</v>
      </c>
      <c r="G47" s="117" t="str">
        <f t="shared" si="0"/>
        <v>ETH_R&amp;D</v>
      </c>
      <c r="H47" s="119"/>
      <c r="I47" s="150"/>
      <c r="J47" s="145"/>
      <c r="K47" s="122"/>
      <c r="L47" s="146">
        <v>0</v>
      </c>
      <c r="M47" s="146"/>
      <c r="N47" s="145"/>
      <c r="O47" s="124">
        <v>0</v>
      </c>
      <c r="P47" s="125">
        <v>0</v>
      </c>
      <c r="Q47" s="125">
        <v>0</v>
      </c>
      <c r="R47" s="125"/>
      <c r="S47" s="125"/>
      <c r="T47" s="125"/>
      <c r="U47" s="125"/>
      <c r="V47" s="125">
        <v>0</v>
      </c>
      <c r="W47" s="125"/>
      <c r="X47" s="125"/>
      <c r="Y47" s="126"/>
      <c r="Z47" s="127">
        <v>0</v>
      </c>
      <c r="AA47" s="128">
        <v>0</v>
      </c>
      <c r="AB47" s="129">
        <f t="shared" si="22"/>
        <v>0</v>
      </c>
      <c r="AC47" s="130"/>
      <c r="AD47" s="131" t="str">
        <f t="shared" si="2"/>
        <v>R&amp;D</v>
      </c>
      <c r="AE47" s="132"/>
      <c r="AF47" s="132"/>
      <c r="AG47" s="136"/>
      <c r="AH47" s="135"/>
      <c r="AI47" s="135"/>
      <c r="AJ47" s="65"/>
      <c r="AK47" s="136"/>
      <c r="AL47" s="136"/>
      <c r="AM47" s="135"/>
      <c r="AN47" s="137"/>
      <c r="AO47" s="65"/>
      <c r="AP47" s="136"/>
      <c r="AQ47" s="136"/>
      <c r="AR47" s="135"/>
      <c r="AS47" s="137"/>
      <c r="AT47" s="65"/>
      <c r="AU47" s="136"/>
      <c r="AV47" s="136"/>
      <c r="AW47" s="135"/>
      <c r="AX47" s="68"/>
      <c r="AY47" s="65"/>
      <c r="AZ47" s="136"/>
      <c r="BA47" s="138"/>
      <c r="BB47" s="135"/>
      <c r="BC47" s="65"/>
      <c r="BD47" s="65"/>
      <c r="BE47" s="120"/>
      <c r="BF47" s="120"/>
      <c r="BG47" s="123"/>
      <c r="BH47" s="121"/>
      <c r="BI47" s="125"/>
      <c r="BJ47" s="139"/>
      <c r="BK47" s="125"/>
      <c r="BL47" s="140"/>
      <c r="BM47" s="125"/>
      <c r="BN47" s="125"/>
      <c r="BO47" s="139"/>
      <c r="BP47" s="125"/>
      <c r="BQ47" s="140"/>
      <c r="BR47" s="125"/>
      <c r="BS47" s="125"/>
      <c r="BT47" s="139"/>
      <c r="BU47" s="149"/>
      <c r="BV47" s="140"/>
      <c r="BW47" s="125"/>
      <c r="BX47" s="125"/>
      <c r="BY47" s="141" t="e">
        <f t="shared" si="23"/>
        <v>#VALUE!</v>
      </c>
      <c r="BZ47" s="142"/>
      <c r="CA47" s="64"/>
    </row>
    <row r="48" spans="1:79" x14ac:dyDescent="0.25">
      <c r="A48" s="115">
        <v>16</v>
      </c>
      <c r="B48" s="153" t="s">
        <v>244</v>
      </c>
      <c r="C48" s="118" t="s">
        <v>245</v>
      </c>
      <c r="D48" s="118" t="s">
        <v>178</v>
      </c>
      <c r="E48" s="118" t="s">
        <v>194</v>
      </c>
      <c r="F48" s="118" t="s">
        <v>180</v>
      </c>
      <c r="G48" s="117" t="str">
        <f t="shared" si="0"/>
        <v>Femi_MRA</v>
      </c>
      <c r="H48" s="119"/>
      <c r="I48" s="150"/>
      <c r="J48" s="145"/>
      <c r="K48" s="122"/>
      <c r="L48" s="146">
        <v>0</v>
      </c>
      <c r="M48" s="146"/>
      <c r="N48" s="145"/>
      <c r="O48" s="124">
        <v>0</v>
      </c>
      <c r="P48" s="125">
        <v>0</v>
      </c>
      <c r="Q48" s="125">
        <v>0</v>
      </c>
      <c r="R48" s="125"/>
      <c r="S48" s="125"/>
      <c r="T48" s="125"/>
      <c r="U48" s="125"/>
      <c r="V48" s="125">
        <v>0</v>
      </c>
      <c r="W48" s="125"/>
      <c r="X48" s="125"/>
      <c r="Y48" s="126"/>
      <c r="Z48" s="127">
        <v>0</v>
      </c>
      <c r="AA48" s="128">
        <v>0</v>
      </c>
      <c r="AB48" s="129">
        <f t="shared" si="22"/>
        <v>0</v>
      </c>
      <c r="AC48" s="121"/>
      <c r="AD48" s="131" t="str">
        <f t="shared" si="2"/>
        <v>MRA</v>
      </c>
      <c r="AE48" s="132"/>
      <c r="AF48" s="132"/>
      <c r="AG48" s="136"/>
      <c r="AH48" s="135"/>
      <c r="AI48" s="68"/>
      <c r="AJ48" s="65"/>
      <c r="AK48" s="136"/>
      <c r="AL48" s="136"/>
      <c r="AM48" s="135"/>
      <c r="AN48" s="137"/>
      <c r="AO48" s="65"/>
      <c r="AP48" s="136"/>
      <c r="AQ48" s="136"/>
      <c r="AR48" s="135"/>
      <c r="AS48" s="137"/>
      <c r="AT48" s="65"/>
      <c r="AU48" s="136"/>
      <c r="AV48" s="136"/>
      <c r="AW48" s="135"/>
      <c r="AX48" s="68"/>
      <c r="AY48" s="65"/>
      <c r="AZ48" s="136"/>
      <c r="BA48" s="138"/>
      <c r="BB48" s="135"/>
      <c r="BC48" s="65"/>
      <c r="BD48" s="65"/>
      <c r="BE48" s="120"/>
      <c r="BF48" s="120"/>
      <c r="BG48" s="123"/>
      <c r="BH48" s="121"/>
      <c r="BI48" s="125"/>
      <c r="BJ48" s="139"/>
      <c r="BK48" s="125"/>
      <c r="BL48" s="140"/>
      <c r="BM48" s="125"/>
      <c r="BN48" s="125"/>
      <c r="BO48" s="139"/>
      <c r="BP48" s="125"/>
      <c r="BQ48" s="140"/>
      <c r="BR48" s="125"/>
      <c r="BS48" s="125"/>
      <c r="BT48" s="139"/>
      <c r="BU48" s="149"/>
      <c r="BV48" s="140"/>
      <c r="BW48" s="125"/>
      <c r="BX48" s="125"/>
      <c r="BY48" s="141" t="e">
        <f t="shared" si="23"/>
        <v>#VALUE!</v>
      </c>
      <c r="BZ48" s="164"/>
      <c r="CA48" s="64"/>
    </row>
    <row r="49" spans="1:79" x14ac:dyDescent="0.25">
      <c r="A49" s="115">
        <f t="shared" ref="A49:A50" si="25">IF(C49="","",A48+1)</f>
        <v>17</v>
      </c>
      <c r="B49" s="153" t="s">
        <v>246</v>
      </c>
      <c r="C49" s="118" t="s">
        <v>247</v>
      </c>
      <c r="D49" s="118" t="s">
        <v>178</v>
      </c>
      <c r="E49" s="118" t="s">
        <v>194</v>
      </c>
      <c r="F49" s="118" t="s">
        <v>180</v>
      </c>
      <c r="G49" s="117" t="str">
        <f t="shared" si="0"/>
        <v>Oliver_Sundance website - rebuild</v>
      </c>
      <c r="H49" s="119"/>
      <c r="I49" s="150"/>
      <c r="J49" s="145"/>
      <c r="K49" s="122"/>
      <c r="L49" s="146">
        <v>0</v>
      </c>
      <c r="M49" s="146"/>
      <c r="N49" s="145"/>
      <c r="O49" s="124">
        <v>0</v>
      </c>
      <c r="P49" s="125">
        <v>0</v>
      </c>
      <c r="Q49" s="125">
        <v>0</v>
      </c>
      <c r="R49" s="125"/>
      <c r="S49" s="125"/>
      <c r="T49" s="125"/>
      <c r="U49" s="125"/>
      <c r="V49" s="125">
        <v>0</v>
      </c>
      <c r="W49" s="125"/>
      <c r="X49" s="125"/>
      <c r="Y49" s="126"/>
      <c r="Z49" s="127">
        <v>0</v>
      </c>
      <c r="AA49" s="128">
        <v>0</v>
      </c>
      <c r="AB49" s="129">
        <f t="shared" si="22"/>
        <v>0</v>
      </c>
      <c r="AC49" s="130"/>
      <c r="AD49" s="131" t="str">
        <f t="shared" si="2"/>
        <v>Sundance website - rebuild</v>
      </c>
      <c r="AE49" s="132"/>
      <c r="AF49" s="132"/>
      <c r="AG49" s="136"/>
      <c r="AH49" s="135"/>
      <c r="AI49" s="135"/>
      <c r="AJ49" s="65"/>
      <c r="AK49" s="136"/>
      <c r="AL49" s="136"/>
      <c r="AM49" s="135"/>
      <c r="AN49" s="137"/>
      <c r="AO49" s="65"/>
      <c r="AP49" s="136"/>
      <c r="AQ49" s="136"/>
      <c r="AR49" s="135"/>
      <c r="AS49" s="137"/>
      <c r="AT49" s="65"/>
      <c r="AU49" s="136"/>
      <c r="AV49" s="136"/>
      <c r="AW49" s="135"/>
      <c r="AX49" s="68"/>
      <c r="AY49" s="65"/>
      <c r="AZ49" s="136"/>
      <c r="BA49" s="138"/>
      <c r="BB49" s="135"/>
      <c r="BC49" s="65"/>
      <c r="BD49" s="65"/>
      <c r="BE49" s="120"/>
      <c r="BF49" s="120"/>
      <c r="BG49" s="123"/>
      <c r="BH49" s="121"/>
      <c r="BI49" s="125"/>
      <c r="BJ49" s="139"/>
      <c r="BK49" s="125"/>
      <c r="BL49" s="140"/>
      <c r="BM49" s="125"/>
      <c r="BN49" s="125"/>
      <c r="BO49" s="139"/>
      <c r="BP49" s="125"/>
      <c r="BQ49" s="140"/>
      <c r="BR49" s="125"/>
      <c r="BS49" s="125"/>
      <c r="BT49" s="139"/>
      <c r="BU49" s="149"/>
      <c r="BV49" s="140"/>
      <c r="BW49" s="125"/>
      <c r="BX49" s="125"/>
      <c r="BY49" s="141" t="e">
        <f t="shared" si="23"/>
        <v>#VALUE!</v>
      </c>
      <c r="BZ49" s="142"/>
      <c r="CA49" s="64"/>
    </row>
    <row r="50" spans="1:79" x14ac:dyDescent="0.25">
      <c r="A50" s="115">
        <f t="shared" si="25"/>
        <v>18</v>
      </c>
      <c r="B50" s="118"/>
      <c r="C50" s="118" t="s">
        <v>248</v>
      </c>
      <c r="D50" s="118" t="s">
        <v>178</v>
      </c>
      <c r="E50" s="118" t="s">
        <v>179</v>
      </c>
      <c r="F50" s="118" t="s">
        <v>180</v>
      </c>
      <c r="G50" s="117" t="str">
        <f t="shared" si="0"/>
        <v>_DevOps consulting</v>
      </c>
      <c r="H50" s="119"/>
      <c r="I50" s="144"/>
      <c r="J50" s="145">
        <v>10454000</v>
      </c>
      <c r="K50" s="122"/>
      <c r="L50" s="146">
        <v>10454000</v>
      </c>
      <c r="M50" s="147"/>
      <c r="N50" s="145">
        <v>1949900</v>
      </c>
      <c r="O50" s="124"/>
      <c r="P50" s="158">
        <v>1949900</v>
      </c>
      <c r="Q50" s="158">
        <v>8504100</v>
      </c>
      <c r="R50" s="159">
        <v>0.8135</v>
      </c>
      <c r="S50" s="158"/>
      <c r="T50" s="158"/>
      <c r="U50" s="158"/>
      <c r="V50" s="158">
        <v>0</v>
      </c>
      <c r="W50" s="158"/>
      <c r="X50" s="158"/>
      <c r="Y50" s="126"/>
      <c r="Z50" s="127">
        <v>0</v>
      </c>
      <c r="AA50" s="128">
        <v>0</v>
      </c>
      <c r="AB50" s="129">
        <f t="shared" si="22"/>
        <v>0</v>
      </c>
      <c r="AC50" s="130"/>
      <c r="AD50" s="131" t="str">
        <f t="shared" si="2"/>
        <v>DevOps consulting</v>
      </c>
      <c r="AE50" s="132"/>
      <c r="AF50" s="132"/>
      <c r="AG50" s="136"/>
      <c r="AH50" s="135"/>
      <c r="AI50" s="135"/>
      <c r="AJ50" s="65"/>
      <c r="AK50" s="136"/>
      <c r="AL50" s="136"/>
      <c r="AM50" s="135"/>
      <c r="AN50" s="137"/>
      <c r="AO50" s="65"/>
      <c r="AP50" s="136"/>
      <c r="AQ50" s="136"/>
      <c r="AR50" s="135"/>
      <c r="AS50" s="137"/>
      <c r="AT50" s="65"/>
      <c r="AU50" s="136"/>
      <c r="AV50" s="136"/>
      <c r="AW50" s="135"/>
      <c r="AX50" s="68"/>
      <c r="AY50" s="65"/>
      <c r="AZ50" s="136"/>
      <c r="BA50" s="138"/>
      <c r="BB50" s="135"/>
      <c r="BC50" s="65"/>
      <c r="BD50" s="65"/>
      <c r="BE50" s="120"/>
      <c r="BF50" s="120"/>
      <c r="BG50" s="123"/>
      <c r="BH50" s="121"/>
      <c r="BI50" s="125"/>
      <c r="BJ50" s="139"/>
      <c r="BK50" s="125"/>
      <c r="BL50" s="140"/>
      <c r="BM50" s="125"/>
      <c r="BN50" s="125"/>
      <c r="BO50" s="139"/>
      <c r="BP50" s="125"/>
      <c r="BQ50" s="140"/>
      <c r="BR50" s="125"/>
      <c r="BS50" s="125"/>
      <c r="BT50" s="139"/>
      <c r="BU50" s="149"/>
      <c r="BV50" s="140"/>
      <c r="BW50" s="125"/>
      <c r="BX50" s="125"/>
      <c r="BY50" s="141" t="e">
        <f t="shared" si="23"/>
        <v>#VALUE!</v>
      </c>
      <c r="BZ50" s="142"/>
      <c r="CA50" s="64"/>
    </row>
    <row r="51" spans="1:79" x14ac:dyDescent="0.25">
      <c r="A51" s="115">
        <v>17</v>
      </c>
      <c r="B51" s="153" t="s">
        <v>249</v>
      </c>
      <c r="C51" s="118" t="s">
        <v>250</v>
      </c>
      <c r="D51" s="118" t="s">
        <v>183</v>
      </c>
      <c r="E51" s="118"/>
      <c r="F51" s="118" t="s">
        <v>191</v>
      </c>
      <c r="G51" s="117" t="str">
        <f t="shared" si="0"/>
        <v>Collab_W3L_Purr.fund</v>
      </c>
      <c r="H51" s="119"/>
      <c r="I51" s="150"/>
      <c r="J51" s="145"/>
      <c r="K51" s="122"/>
      <c r="L51" s="146">
        <v>0</v>
      </c>
      <c r="M51" s="146"/>
      <c r="N51" s="145"/>
      <c r="O51" s="124">
        <v>0</v>
      </c>
      <c r="P51" s="125">
        <v>0</v>
      </c>
      <c r="Q51" s="125">
        <v>0</v>
      </c>
      <c r="R51" s="125"/>
      <c r="S51" s="125"/>
      <c r="T51" s="125"/>
      <c r="U51" s="125"/>
      <c r="V51" s="125">
        <v>0</v>
      </c>
      <c r="W51" s="125"/>
      <c r="X51" s="125"/>
      <c r="Y51" s="126"/>
      <c r="Z51" s="127">
        <v>0</v>
      </c>
      <c r="AA51" s="128">
        <v>0</v>
      </c>
      <c r="AB51" s="129">
        <f t="shared" si="22"/>
        <v>0</v>
      </c>
      <c r="AC51" s="130"/>
      <c r="AD51" s="131" t="str">
        <f t="shared" si="2"/>
        <v>W3L_Purr.fund</v>
      </c>
      <c r="AE51" s="132"/>
      <c r="AF51" s="132"/>
      <c r="AG51" s="136"/>
      <c r="AH51" s="135"/>
      <c r="AI51" s="135"/>
      <c r="AJ51" s="65"/>
      <c r="AK51" s="136"/>
      <c r="AL51" s="136"/>
      <c r="AM51" s="135"/>
      <c r="AN51" s="137"/>
      <c r="AO51" s="65"/>
      <c r="AP51" s="136"/>
      <c r="AQ51" s="136"/>
      <c r="AR51" s="135"/>
      <c r="AS51" s="137"/>
      <c r="AT51" s="65"/>
      <c r="AU51" s="136"/>
      <c r="AV51" s="136"/>
      <c r="AW51" s="135"/>
      <c r="AX51" s="68"/>
      <c r="AY51" s="65"/>
      <c r="AZ51" s="136"/>
      <c r="BA51" s="138"/>
      <c r="BB51" s="135"/>
      <c r="BC51" s="65"/>
      <c r="BD51" s="65"/>
      <c r="BE51" s="120"/>
      <c r="BF51" s="120"/>
      <c r="BG51" s="123"/>
      <c r="BH51" s="121"/>
      <c r="BI51" s="125"/>
      <c r="BJ51" s="139"/>
      <c r="BK51" s="125"/>
      <c r="BL51" s="140"/>
      <c r="BM51" s="125"/>
      <c r="BN51" s="125"/>
      <c r="BO51" s="139"/>
      <c r="BP51" s="125"/>
      <c r="BQ51" s="140"/>
      <c r="BR51" s="125"/>
      <c r="BS51" s="125"/>
      <c r="BT51" s="139"/>
      <c r="BU51" s="149"/>
      <c r="BV51" s="140"/>
      <c r="BW51" s="125"/>
      <c r="BX51" s="125"/>
      <c r="BY51" s="141" t="e">
        <f t="shared" si="23"/>
        <v>#VALUE!</v>
      </c>
      <c r="BZ51" s="142"/>
      <c r="CA51" s="64"/>
    </row>
    <row r="52" spans="1:79" x14ac:dyDescent="0.25">
      <c r="A52" s="115">
        <f t="shared" ref="A52:A53" si="26">IF(C52="","",A51+1)</f>
        <v>18</v>
      </c>
      <c r="B52" s="118"/>
      <c r="C52" s="118" t="s">
        <v>251</v>
      </c>
      <c r="D52" s="118" t="s">
        <v>183</v>
      </c>
      <c r="E52" s="118"/>
      <c r="F52" s="118" t="s">
        <v>191</v>
      </c>
      <c r="G52" s="117" t="str">
        <f t="shared" si="0"/>
        <v>_Seagate</v>
      </c>
      <c r="H52" s="119"/>
      <c r="I52" s="150"/>
      <c r="J52" s="145"/>
      <c r="K52" s="122"/>
      <c r="L52" s="146">
        <v>0</v>
      </c>
      <c r="M52" s="146"/>
      <c r="N52" s="145"/>
      <c r="O52" s="124">
        <v>0</v>
      </c>
      <c r="P52" s="125">
        <v>0</v>
      </c>
      <c r="Q52" s="125">
        <v>0</v>
      </c>
      <c r="R52" s="125"/>
      <c r="S52" s="125"/>
      <c r="T52" s="125"/>
      <c r="U52" s="125"/>
      <c r="V52" s="125">
        <v>0</v>
      </c>
      <c r="W52" s="125"/>
      <c r="X52" s="125"/>
      <c r="Y52" s="126"/>
      <c r="Z52" s="127">
        <v>0</v>
      </c>
      <c r="AA52" s="128">
        <v>0</v>
      </c>
      <c r="AB52" s="129">
        <f t="shared" si="22"/>
        <v>0</v>
      </c>
      <c r="AC52" s="130"/>
      <c r="AD52" s="131" t="str">
        <f t="shared" si="2"/>
        <v>Seagate</v>
      </c>
      <c r="AE52" s="132"/>
      <c r="AF52" s="132"/>
      <c r="AG52" s="136"/>
      <c r="AH52" s="135"/>
      <c r="AI52" s="135"/>
      <c r="AJ52" s="65"/>
      <c r="AK52" s="136"/>
      <c r="AL52" s="136"/>
      <c r="AM52" s="135"/>
      <c r="AN52" s="137"/>
      <c r="AO52" s="65"/>
      <c r="AP52" s="136"/>
      <c r="AQ52" s="136"/>
      <c r="AR52" s="135"/>
      <c r="AS52" s="137"/>
      <c r="AT52" s="65"/>
      <c r="AU52" s="136"/>
      <c r="AV52" s="136"/>
      <c r="AW52" s="135"/>
      <c r="AX52" s="68"/>
      <c r="AY52" s="65"/>
      <c r="AZ52" s="136"/>
      <c r="BA52" s="138"/>
      <c r="BB52" s="135"/>
      <c r="BC52" s="65"/>
      <c r="BD52" s="65"/>
      <c r="BE52" s="120"/>
      <c r="BF52" s="120"/>
      <c r="BG52" s="123"/>
      <c r="BH52" s="121"/>
      <c r="BI52" s="125"/>
      <c r="BJ52" s="139"/>
      <c r="BK52" s="125"/>
      <c r="BL52" s="140"/>
      <c r="BM52" s="125"/>
      <c r="BN52" s="125"/>
      <c r="BO52" s="139"/>
      <c r="BP52" s="125"/>
      <c r="BQ52" s="140"/>
      <c r="BR52" s="125"/>
      <c r="BS52" s="125"/>
      <c r="BT52" s="139"/>
      <c r="BU52" s="149"/>
      <c r="BV52" s="140"/>
      <c r="BW52" s="125"/>
      <c r="BX52" s="125"/>
      <c r="BY52" s="141" t="e">
        <f t="shared" si="23"/>
        <v>#VALUE!</v>
      </c>
      <c r="BZ52" s="142"/>
      <c r="CA52" s="64"/>
    </row>
    <row r="53" spans="1:79" x14ac:dyDescent="0.25">
      <c r="A53" s="115">
        <f t="shared" si="26"/>
        <v>19</v>
      </c>
      <c r="B53" s="153" t="s">
        <v>252</v>
      </c>
      <c r="C53" s="118" t="s">
        <v>253</v>
      </c>
      <c r="D53" s="118" t="s">
        <v>183</v>
      </c>
      <c r="E53" s="118"/>
      <c r="F53" s="118" t="s">
        <v>191</v>
      </c>
      <c r="G53" s="117" t="str">
        <f t="shared" si="0"/>
        <v>Evocean_Moonkit</v>
      </c>
      <c r="H53" s="119"/>
      <c r="I53" s="150"/>
      <c r="J53" s="145"/>
      <c r="K53" s="122"/>
      <c r="L53" s="146">
        <v>0</v>
      </c>
      <c r="M53" s="146"/>
      <c r="N53" s="145"/>
      <c r="O53" s="124">
        <v>0</v>
      </c>
      <c r="P53" s="125">
        <v>0</v>
      </c>
      <c r="Q53" s="125">
        <v>0</v>
      </c>
      <c r="R53" s="125"/>
      <c r="S53" s="125"/>
      <c r="T53" s="125"/>
      <c r="U53" s="125"/>
      <c r="V53" s="125">
        <v>0</v>
      </c>
      <c r="W53" s="125"/>
      <c r="X53" s="125"/>
      <c r="Y53" s="126"/>
      <c r="Z53" s="127">
        <v>0</v>
      </c>
      <c r="AA53" s="128">
        <v>0</v>
      </c>
      <c r="AB53" s="129">
        <f t="shared" si="22"/>
        <v>0</v>
      </c>
      <c r="AC53" s="130"/>
      <c r="AD53" s="131" t="str">
        <f t="shared" si="2"/>
        <v>Moonkit</v>
      </c>
      <c r="AE53" s="132"/>
      <c r="AF53" s="132"/>
      <c r="AG53" s="136"/>
      <c r="AH53" s="135"/>
      <c r="AI53" s="135"/>
      <c r="AJ53" s="65"/>
      <c r="AK53" s="136"/>
      <c r="AL53" s="162"/>
      <c r="AM53" s="135"/>
      <c r="AN53" s="137"/>
      <c r="AO53" s="65"/>
      <c r="AP53" s="136"/>
      <c r="AQ53" s="136"/>
      <c r="AR53" s="135"/>
      <c r="AS53" s="137"/>
      <c r="AT53" s="65"/>
      <c r="AU53" s="136"/>
      <c r="AV53" s="136"/>
      <c r="AW53" s="135"/>
      <c r="AX53" s="68"/>
      <c r="AY53" s="65"/>
      <c r="AZ53" s="136"/>
      <c r="BA53" s="138"/>
      <c r="BB53" s="135"/>
      <c r="BC53" s="65"/>
      <c r="BD53" s="65"/>
      <c r="BE53" s="120"/>
      <c r="BF53" s="120"/>
      <c r="BG53" s="123"/>
      <c r="BH53" s="121"/>
      <c r="BI53" s="125"/>
      <c r="BJ53" s="139"/>
      <c r="BK53" s="125"/>
      <c r="BL53" s="140"/>
      <c r="BM53" s="125"/>
      <c r="BN53" s="125"/>
      <c r="BO53" s="139"/>
      <c r="BP53" s="125"/>
      <c r="BQ53" s="140"/>
      <c r="BR53" s="125"/>
      <c r="BS53" s="125"/>
      <c r="BT53" s="139"/>
      <c r="BU53" s="149"/>
      <c r="BV53" s="140"/>
      <c r="BW53" s="125"/>
      <c r="BX53" s="125"/>
      <c r="BY53" s="141" t="e">
        <f t="shared" si="23"/>
        <v>#VALUE!</v>
      </c>
      <c r="BZ53" s="142"/>
      <c r="CA53" s="64"/>
    </row>
    <row r="54" spans="1:79" x14ac:dyDescent="0.25">
      <c r="A54" s="115">
        <v>18</v>
      </c>
      <c r="B54" s="153" t="s">
        <v>254</v>
      </c>
      <c r="C54" s="118" t="s">
        <v>255</v>
      </c>
      <c r="D54" s="118" t="s">
        <v>178</v>
      </c>
      <c r="E54" s="118" t="s">
        <v>194</v>
      </c>
      <c r="F54" s="118" t="s">
        <v>191</v>
      </c>
      <c r="G54" s="117" t="str">
        <f t="shared" si="0"/>
        <v>Tonka EZ _Tonka_Restaking with Capi</v>
      </c>
      <c r="H54" s="119"/>
      <c r="I54" s="150"/>
      <c r="J54" s="145"/>
      <c r="K54" s="122"/>
      <c r="L54" s="146">
        <v>0</v>
      </c>
      <c r="M54" s="146"/>
      <c r="N54" s="145"/>
      <c r="O54" s="124">
        <v>0</v>
      </c>
      <c r="P54" s="125">
        <v>0</v>
      </c>
      <c r="Q54" s="125">
        <v>0</v>
      </c>
      <c r="R54" s="125"/>
      <c r="S54" s="125"/>
      <c r="T54" s="125"/>
      <c r="U54" s="125"/>
      <c r="V54" s="125">
        <v>0</v>
      </c>
      <c r="W54" s="125"/>
      <c r="X54" s="125"/>
      <c r="Y54" s="126"/>
      <c r="Z54" s="127">
        <v>0</v>
      </c>
      <c r="AA54" s="128">
        <v>0</v>
      </c>
      <c r="AB54" s="129">
        <f t="shared" si="22"/>
        <v>0</v>
      </c>
      <c r="AC54" s="130"/>
      <c r="AD54" s="131" t="str">
        <f t="shared" si="2"/>
        <v>Tonka_Restaking with Capi</v>
      </c>
      <c r="AE54" s="132"/>
      <c r="AF54" s="132"/>
      <c r="AG54" s="136"/>
      <c r="AH54" s="135"/>
      <c r="AI54" s="135"/>
      <c r="AJ54" s="65"/>
      <c r="AK54" s="136"/>
      <c r="AL54" s="162"/>
      <c r="AM54" s="135"/>
      <c r="AN54" s="137"/>
      <c r="AO54" s="65"/>
      <c r="AP54" s="136"/>
      <c r="AQ54" s="136"/>
      <c r="AR54" s="135"/>
      <c r="AS54" s="137"/>
      <c r="AT54" s="65"/>
      <c r="AU54" s="136"/>
      <c r="AV54" s="136"/>
      <c r="AW54" s="135"/>
      <c r="AX54" s="68"/>
      <c r="AY54" s="65"/>
      <c r="AZ54" s="136"/>
      <c r="BA54" s="138"/>
      <c r="BB54" s="135"/>
      <c r="BC54" s="65"/>
      <c r="BD54" s="65"/>
      <c r="BE54" s="120"/>
      <c r="BF54" s="120"/>
      <c r="BG54" s="123"/>
      <c r="BH54" s="121"/>
      <c r="BI54" s="125"/>
      <c r="BJ54" s="139"/>
      <c r="BK54" s="125"/>
      <c r="BL54" s="140"/>
      <c r="BM54" s="125"/>
      <c r="BN54" s="125"/>
      <c r="BO54" s="139"/>
      <c r="BP54" s="125"/>
      <c r="BQ54" s="140"/>
      <c r="BR54" s="125"/>
      <c r="BS54" s="125"/>
      <c r="BT54" s="139"/>
      <c r="BU54" s="149"/>
      <c r="BV54" s="140"/>
      <c r="BW54" s="125"/>
      <c r="BX54" s="125"/>
      <c r="BY54" s="141" t="e">
        <f t="shared" si="23"/>
        <v>#VALUE!</v>
      </c>
      <c r="BZ54" s="142"/>
      <c r="CA54" s="64"/>
    </row>
    <row r="55" spans="1:79" x14ac:dyDescent="0.25">
      <c r="A55" s="115">
        <f t="shared" ref="A55:A56" si="27">IF(C55="","",A54+1)</f>
        <v>19</v>
      </c>
      <c r="B55" s="153" t="s">
        <v>256</v>
      </c>
      <c r="C55" s="118" t="s">
        <v>257</v>
      </c>
      <c r="D55" s="118" t="s">
        <v>178</v>
      </c>
      <c r="E55" s="118" t="s">
        <v>179</v>
      </c>
      <c r="F55" s="118" t="s">
        <v>180</v>
      </c>
      <c r="G55" s="117" t="str">
        <f t="shared" si="0"/>
        <v>Golive_Golive_Golang</v>
      </c>
      <c r="H55" s="119"/>
      <c r="I55" s="150"/>
      <c r="J55" s="145"/>
      <c r="K55" s="122"/>
      <c r="L55" s="146">
        <v>0</v>
      </c>
      <c r="M55" s="146"/>
      <c r="N55" s="145"/>
      <c r="O55" s="124">
        <v>0</v>
      </c>
      <c r="P55" s="125">
        <v>0</v>
      </c>
      <c r="Q55" s="125">
        <v>0</v>
      </c>
      <c r="R55" s="125"/>
      <c r="S55" s="125"/>
      <c r="T55" s="125"/>
      <c r="U55" s="125"/>
      <c r="V55" s="125">
        <v>0</v>
      </c>
      <c r="W55" s="125"/>
      <c r="X55" s="125"/>
      <c r="Y55" s="126"/>
      <c r="Z55" s="127">
        <v>0</v>
      </c>
      <c r="AA55" s="128">
        <v>0</v>
      </c>
      <c r="AB55" s="129">
        <f t="shared" si="22"/>
        <v>0</v>
      </c>
      <c r="AC55" s="130"/>
      <c r="AD55" s="131" t="str">
        <f t="shared" si="2"/>
        <v>Golive_Golang</v>
      </c>
      <c r="AE55" s="132"/>
      <c r="AF55" s="132"/>
      <c r="AG55" s="136"/>
      <c r="AH55" s="135"/>
      <c r="AI55" s="135"/>
      <c r="AJ55" s="65"/>
      <c r="AK55" s="136"/>
      <c r="AL55" s="162"/>
      <c r="AM55" s="135"/>
      <c r="AN55" s="137"/>
      <c r="AO55" s="65"/>
      <c r="AP55" s="136"/>
      <c r="AQ55" s="136"/>
      <c r="AR55" s="135"/>
      <c r="AS55" s="137"/>
      <c r="AT55" s="65"/>
      <c r="AU55" s="136"/>
      <c r="AV55" s="136"/>
      <c r="AW55" s="135"/>
      <c r="AX55" s="68"/>
      <c r="AY55" s="65"/>
      <c r="AZ55" s="136"/>
      <c r="BA55" s="138"/>
      <c r="BB55" s="135"/>
      <c r="BC55" s="65"/>
      <c r="BD55" s="65"/>
      <c r="BE55" s="120"/>
      <c r="BF55" s="120"/>
      <c r="BG55" s="123"/>
      <c r="BH55" s="121"/>
      <c r="BI55" s="125"/>
      <c r="BJ55" s="139"/>
      <c r="BK55" s="125"/>
      <c r="BL55" s="140"/>
      <c r="BM55" s="125"/>
      <c r="BN55" s="125"/>
      <c r="BO55" s="139"/>
      <c r="BP55" s="125"/>
      <c r="BQ55" s="140"/>
      <c r="BR55" s="125"/>
      <c r="BS55" s="125"/>
      <c r="BT55" s="139"/>
      <c r="BU55" s="149"/>
      <c r="BV55" s="140"/>
      <c r="BW55" s="125"/>
      <c r="BX55" s="125"/>
      <c r="BY55" s="141" t="e">
        <f t="shared" si="23"/>
        <v>#VALUE!</v>
      </c>
      <c r="BZ55" s="142"/>
      <c r="CA55" s="64"/>
    </row>
    <row r="56" spans="1:79" x14ac:dyDescent="0.25">
      <c r="A56" s="115">
        <f t="shared" si="27"/>
        <v>20</v>
      </c>
      <c r="B56" s="153" t="s">
        <v>258</v>
      </c>
      <c r="C56" s="118" t="s">
        <v>259</v>
      </c>
      <c r="D56" s="118" t="s">
        <v>178</v>
      </c>
      <c r="E56" s="118" t="s">
        <v>179</v>
      </c>
      <c r="F56" s="118" t="s">
        <v>191</v>
      </c>
      <c r="G56" s="117" t="str">
        <f t="shared" si="0"/>
        <v>c/o Roy_Saltmines</v>
      </c>
      <c r="H56" s="119"/>
      <c r="I56" s="150"/>
      <c r="J56" s="145"/>
      <c r="K56" s="122"/>
      <c r="L56" s="146">
        <v>0</v>
      </c>
      <c r="M56" s="146"/>
      <c r="N56" s="145"/>
      <c r="O56" s="124">
        <v>0</v>
      </c>
      <c r="P56" s="125">
        <v>0</v>
      </c>
      <c r="Q56" s="125">
        <v>0</v>
      </c>
      <c r="R56" s="125"/>
      <c r="S56" s="125"/>
      <c r="T56" s="125"/>
      <c r="U56" s="125"/>
      <c r="V56" s="125">
        <v>0</v>
      </c>
      <c r="W56" s="125"/>
      <c r="X56" s="125"/>
      <c r="Y56" s="126"/>
      <c r="Z56" s="127">
        <v>0</v>
      </c>
      <c r="AA56" s="128">
        <v>0</v>
      </c>
      <c r="AB56" s="129">
        <f t="shared" si="22"/>
        <v>0</v>
      </c>
      <c r="AC56" s="130"/>
      <c r="AD56" s="131" t="str">
        <f t="shared" si="2"/>
        <v>Saltmines</v>
      </c>
      <c r="AE56" s="132"/>
      <c r="AF56" s="132"/>
      <c r="AG56" s="136"/>
      <c r="AH56" s="135"/>
      <c r="AI56" s="135"/>
      <c r="AJ56" s="65"/>
      <c r="AK56" s="136"/>
      <c r="AL56" s="162"/>
      <c r="AM56" s="135"/>
      <c r="AN56" s="137"/>
      <c r="AO56" s="65"/>
      <c r="AP56" s="136"/>
      <c r="AQ56" s="136"/>
      <c r="AR56" s="135"/>
      <c r="AS56" s="137"/>
      <c r="AT56" s="65"/>
      <c r="AU56" s="136"/>
      <c r="AV56" s="136"/>
      <c r="AW56" s="135"/>
      <c r="AX56" s="68"/>
      <c r="AY56" s="65"/>
      <c r="AZ56" s="136"/>
      <c r="BA56" s="138"/>
      <c r="BB56" s="135"/>
      <c r="BC56" s="65"/>
      <c r="BD56" s="65"/>
      <c r="BE56" s="120"/>
      <c r="BF56" s="120"/>
      <c r="BG56" s="123"/>
      <c r="BH56" s="121"/>
      <c r="BI56" s="125"/>
      <c r="BJ56" s="139"/>
      <c r="BK56" s="125"/>
      <c r="BL56" s="140"/>
      <c r="BM56" s="125"/>
      <c r="BN56" s="125"/>
      <c r="BO56" s="139"/>
      <c r="BP56" s="125"/>
      <c r="BQ56" s="140"/>
      <c r="BR56" s="125"/>
      <c r="BS56" s="125"/>
      <c r="BT56" s="139"/>
      <c r="BU56" s="149"/>
      <c r="BV56" s="140"/>
      <c r="BW56" s="125"/>
      <c r="BX56" s="125"/>
      <c r="BY56" s="141" t="e">
        <f t="shared" si="23"/>
        <v>#VALUE!</v>
      </c>
      <c r="BZ56" s="142"/>
      <c r="CA56" s="64"/>
    </row>
    <row r="57" spans="1:79" x14ac:dyDescent="0.25">
      <c r="A57" s="115">
        <v>19</v>
      </c>
      <c r="B57" s="153" t="s">
        <v>260</v>
      </c>
      <c r="C57" s="118" t="s">
        <v>261</v>
      </c>
      <c r="D57" s="118" t="s">
        <v>178</v>
      </c>
      <c r="E57" s="118" t="s">
        <v>194</v>
      </c>
      <c r="F57" s="118" t="s">
        <v>180</v>
      </c>
      <c r="G57" s="117" t="str">
        <f t="shared" si="0"/>
        <v>LunaShop_Lunashop</v>
      </c>
      <c r="H57" s="119"/>
      <c r="I57" s="150"/>
      <c r="J57" s="145"/>
      <c r="K57" s="122"/>
      <c r="L57" s="146">
        <v>0</v>
      </c>
      <c r="M57" s="146"/>
      <c r="N57" s="145"/>
      <c r="O57" s="124">
        <v>0</v>
      </c>
      <c r="P57" s="125">
        <v>0</v>
      </c>
      <c r="Q57" s="125">
        <v>0</v>
      </c>
      <c r="R57" s="125"/>
      <c r="S57" s="125"/>
      <c r="T57" s="125"/>
      <c r="U57" s="125"/>
      <c r="V57" s="125">
        <v>0</v>
      </c>
      <c r="W57" s="125"/>
      <c r="X57" s="125"/>
      <c r="Y57" s="126"/>
      <c r="Z57" s="127">
        <v>0</v>
      </c>
      <c r="AA57" s="128">
        <v>0</v>
      </c>
      <c r="AB57" s="129">
        <f t="shared" si="22"/>
        <v>0</v>
      </c>
      <c r="AC57" s="130"/>
      <c r="AD57" s="131" t="str">
        <f t="shared" si="2"/>
        <v>Lunashop</v>
      </c>
      <c r="AE57" s="132"/>
      <c r="AF57" s="132"/>
      <c r="AG57" s="136"/>
      <c r="AH57" s="135"/>
      <c r="AI57" s="135"/>
      <c r="AJ57" s="65"/>
      <c r="AK57" s="136"/>
      <c r="AL57" s="162"/>
      <c r="AM57" s="135"/>
      <c r="AN57" s="165"/>
      <c r="AO57" s="65"/>
      <c r="AP57" s="136"/>
      <c r="AQ57" s="136"/>
      <c r="AR57" s="135"/>
      <c r="AS57" s="137"/>
      <c r="AT57" s="65"/>
      <c r="AU57" s="136"/>
      <c r="AV57" s="136"/>
      <c r="AW57" s="135"/>
      <c r="AX57" s="68"/>
      <c r="AY57" s="65"/>
      <c r="AZ57" s="136"/>
      <c r="BA57" s="138"/>
      <c r="BB57" s="135"/>
      <c r="BC57" s="65"/>
      <c r="BD57" s="65"/>
      <c r="BE57" s="120"/>
      <c r="BF57" s="120"/>
      <c r="BG57" s="123"/>
      <c r="BH57" s="121"/>
      <c r="BI57" s="125"/>
      <c r="BJ57" s="139"/>
      <c r="BK57" s="125"/>
      <c r="BL57" s="140"/>
      <c r="BM57" s="125"/>
      <c r="BN57" s="125"/>
      <c r="BO57" s="139"/>
      <c r="BP57" s="125"/>
      <c r="BQ57" s="140"/>
      <c r="BR57" s="125"/>
      <c r="BS57" s="125"/>
      <c r="BT57" s="139"/>
      <c r="BU57" s="149"/>
      <c r="BV57" s="140"/>
      <c r="BW57" s="125"/>
      <c r="BX57" s="125"/>
      <c r="BY57" s="141" t="e">
        <f t="shared" si="23"/>
        <v>#VALUE!</v>
      </c>
      <c r="BZ57" s="142" t="e">
        <f>F57/E57</f>
        <v>#VALUE!</v>
      </c>
      <c r="CA57" s="64"/>
    </row>
    <row r="58" spans="1:79" x14ac:dyDescent="0.25">
      <c r="A58" s="115">
        <f t="shared" ref="A58:A59" si="28">IF(C58="","",A57+1)</f>
        <v>20</v>
      </c>
      <c r="B58" s="153" t="s">
        <v>262</v>
      </c>
      <c r="C58" s="118" t="s">
        <v>263</v>
      </c>
      <c r="D58" s="118" t="s">
        <v>183</v>
      </c>
      <c r="E58" s="118" t="s">
        <v>194</v>
      </c>
      <c r="F58" s="118" t="s">
        <v>191</v>
      </c>
      <c r="G58" s="117" t="str">
        <f t="shared" si="0"/>
        <v>Trinity_Fomoney</v>
      </c>
      <c r="H58" s="119"/>
      <c r="I58" s="150"/>
      <c r="J58" s="145"/>
      <c r="K58" s="122"/>
      <c r="L58" s="146">
        <v>0</v>
      </c>
      <c r="M58" s="146"/>
      <c r="N58" s="145"/>
      <c r="O58" s="124">
        <v>0</v>
      </c>
      <c r="P58" s="125">
        <v>0</v>
      </c>
      <c r="Q58" s="125">
        <v>0</v>
      </c>
      <c r="R58" s="125"/>
      <c r="S58" s="125"/>
      <c r="T58" s="125"/>
      <c r="U58" s="125"/>
      <c r="V58" s="125">
        <v>0</v>
      </c>
      <c r="W58" s="125"/>
      <c r="X58" s="125"/>
      <c r="Y58" s="126"/>
      <c r="Z58" s="127">
        <v>0</v>
      </c>
      <c r="AA58" s="128">
        <v>0</v>
      </c>
      <c r="AB58" s="129">
        <f t="shared" si="22"/>
        <v>0</v>
      </c>
      <c r="AC58" s="130"/>
      <c r="AD58" s="131" t="str">
        <f t="shared" si="2"/>
        <v>Fomoney</v>
      </c>
      <c r="AE58" s="132"/>
      <c r="AF58" s="132"/>
      <c r="AG58" s="136"/>
      <c r="AH58" s="135"/>
      <c r="AI58" s="135"/>
      <c r="AJ58" s="65"/>
      <c r="AK58" s="136"/>
      <c r="AL58" s="162"/>
      <c r="AM58" s="135"/>
      <c r="AN58" s="137"/>
      <c r="AO58" s="65"/>
      <c r="AP58" s="136"/>
      <c r="AQ58" s="136"/>
      <c r="AR58" s="135"/>
      <c r="AS58" s="137"/>
      <c r="AT58" s="65"/>
      <c r="AU58" s="136"/>
      <c r="AV58" s="136"/>
      <c r="AW58" s="135"/>
      <c r="AX58" s="68"/>
      <c r="AY58" s="65"/>
      <c r="AZ58" s="136"/>
      <c r="BA58" s="138"/>
      <c r="BB58" s="135"/>
      <c r="BC58" s="65"/>
      <c r="BD58" s="65"/>
      <c r="BE58" s="120"/>
      <c r="BF58" s="120"/>
      <c r="BG58" s="123"/>
      <c r="BH58" s="121"/>
      <c r="BI58" s="125"/>
      <c r="BJ58" s="139"/>
      <c r="BK58" s="125"/>
      <c r="BL58" s="140"/>
      <c r="BM58" s="125"/>
      <c r="BN58" s="125"/>
      <c r="BO58" s="139"/>
      <c r="BP58" s="125"/>
      <c r="BQ58" s="140"/>
      <c r="BR58" s="125"/>
      <c r="BS58" s="125"/>
      <c r="BT58" s="139"/>
      <c r="BU58" s="149"/>
      <c r="BV58" s="140"/>
      <c r="BW58" s="125"/>
      <c r="BX58" s="125"/>
      <c r="BY58" s="141" t="e">
        <f t="shared" si="23"/>
        <v>#VALUE!</v>
      </c>
      <c r="BZ58" s="142"/>
      <c r="CA58" s="64"/>
    </row>
    <row r="59" spans="1:79" x14ac:dyDescent="0.25">
      <c r="A59" s="115">
        <f t="shared" si="28"/>
        <v>21</v>
      </c>
      <c r="B59" s="116" t="s">
        <v>181</v>
      </c>
      <c r="C59" s="118" t="s">
        <v>264</v>
      </c>
      <c r="D59" s="118" t="s">
        <v>183</v>
      </c>
      <c r="E59" s="118" t="s">
        <v>179</v>
      </c>
      <c r="F59" s="118" t="s">
        <v>180</v>
      </c>
      <c r="G59" s="117" t="str">
        <f t="shared" si="0"/>
        <v>QSOFT_Transparently</v>
      </c>
      <c r="H59" s="119"/>
      <c r="I59" s="144"/>
      <c r="J59" s="145">
        <v>138325000</v>
      </c>
      <c r="K59" s="122"/>
      <c r="L59" s="146">
        <v>138325000</v>
      </c>
      <c r="M59" s="147"/>
      <c r="N59" s="145">
        <v>77142500</v>
      </c>
      <c r="O59" s="124"/>
      <c r="P59" s="125">
        <v>77142500</v>
      </c>
      <c r="Q59" s="125">
        <v>61182500</v>
      </c>
      <c r="R59" s="148">
        <v>0.4423</v>
      </c>
      <c r="S59" s="125"/>
      <c r="T59" s="125">
        <v>102971947</v>
      </c>
      <c r="U59" s="125"/>
      <c r="V59" s="125">
        <v>102971947</v>
      </c>
      <c r="W59" s="125"/>
      <c r="X59" s="125">
        <v>57018370</v>
      </c>
      <c r="Y59" s="126"/>
      <c r="Z59" s="127">
        <v>57018370</v>
      </c>
      <c r="AA59" s="128">
        <v>45953577</v>
      </c>
      <c r="AB59" s="129">
        <f t="shared" si="22"/>
        <v>45953577</v>
      </c>
      <c r="AC59" s="130"/>
      <c r="AD59" s="131" t="str">
        <f t="shared" si="2"/>
        <v>Transparently</v>
      </c>
      <c r="AE59" s="132"/>
      <c r="AF59" s="132"/>
      <c r="AG59" s="136"/>
      <c r="AH59" s="135"/>
      <c r="AI59" s="135"/>
      <c r="AJ59" s="65"/>
      <c r="AK59" s="136"/>
      <c r="AL59" s="162"/>
      <c r="AM59" s="135"/>
      <c r="AN59" s="137"/>
      <c r="AO59" s="65"/>
      <c r="AP59" s="136"/>
      <c r="AQ59" s="136"/>
      <c r="AR59" s="135"/>
      <c r="AS59" s="137"/>
      <c r="AT59" s="65"/>
      <c r="AU59" s="136"/>
      <c r="AV59" s="136"/>
      <c r="AW59" s="135"/>
      <c r="AX59" s="68"/>
      <c r="AY59" s="65"/>
      <c r="AZ59" s="136"/>
      <c r="BA59" s="138"/>
      <c r="BB59" s="135"/>
      <c r="BC59" s="65"/>
      <c r="BD59" s="65"/>
      <c r="BE59" s="151"/>
      <c r="BF59" s="120"/>
      <c r="BG59" s="123"/>
      <c r="BH59" s="121"/>
      <c r="BI59" s="125"/>
      <c r="BJ59" s="139"/>
      <c r="BK59" s="125"/>
      <c r="BL59" s="140"/>
      <c r="BM59" s="125"/>
      <c r="BN59" s="125"/>
      <c r="BO59" s="139"/>
      <c r="BP59" s="125"/>
      <c r="BQ59" s="140"/>
      <c r="BR59" s="125"/>
      <c r="BS59" s="125"/>
      <c r="BT59" s="139"/>
      <c r="BU59" s="149"/>
      <c r="BV59" s="140"/>
      <c r="BW59" s="125"/>
      <c r="BX59" s="125"/>
      <c r="BY59" s="141" t="e">
        <f t="shared" si="23"/>
        <v>#VALUE!</v>
      </c>
      <c r="BZ59" s="142"/>
      <c r="CA59" s="64"/>
    </row>
    <row r="60" spans="1:79" x14ac:dyDescent="0.25">
      <c r="A60" s="115">
        <v>20</v>
      </c>
      <c r="B60" s="116" t="s">
        <v>265</v>
      </c>
      <c r="C60" s="118" t="s">
        <v>266</v>
      </c>
      <c r="D60" s="118" t="s">
        <v>183</v>
      </c>
      <c r="E60" s="118"/>
      <c r="F60" s="118" t="s">
        <v>180</v>
      </c>
      <c r="G60" s="117" t="str">
        <f t="shared" si="0"/>
        <v>VCCI_Alumni</v>
      </c>
      <c r="H60" s="119"/>
      <c r="I60" s="150"/>
      <c r="J60" s="145"/>
      <c r="K60" s="122"/>
      <c r="L60" s="146">
        <v>0</v>
      </c>
      <c r="M60" s="146"/>
      <c r="N60" s="145"/>
      <c r="O60" s="124">
        <v>0</v>
      </c>
      <c r="P60" s="125">
        <v>0</v>
      </c>
      <c r="Q60" s="125">
        <v>0</v>
      </c>
      <c r="R60" s="125"/>
      <c r="S60" s="125"/>
      <c r="T60" s="125"/>
      <c r="U60" s="125"/>
      <c r="V60" s="125">
        <v>0</v>
      </c>
      <c r="W60" s="125"/>
      <c r="X60" s="125"/>
      <c r="Y60" s="126"/>
      <c r="Z60" s="127">
        <v>0</v>
      </c>
      <c r="AA60" s="128">
        <v>0</v>
      </c>
      <c r="AB60" s="129">
        <f t="shared" si="22"/>
        <v>0</v>
      </c>
      <c r="AC60" s="130"/>
      <c r="AD60" s="131" t="str">
        <f t="shared" si="2"/>
        <v>Alumni</v>
      </c>
      <c r="AE60" s="132"/>
      <c r="AF60" s="132"/>
      <c r="AG60" s="136"/>
      <c r="AH60" s="135"/>
      <c r="AI60" s="135"/>
      <c r="AJ60" s="65"/>
      <c r="AK60" s="136"/>
      <c r="AL60" s="162"/>
      <c r="AM60" s="135"/>
      <c r="AN60" s="137"/>
      <c r="AO60" s="65"/>
      <c r="AP60" s="136"/>
      <c r="AQ60" s="136"/>
      <c r="AR60" s="135"/>
      <c r="AS60" s="137"/>
      <c r="AT60" s="65"/>
      <c r="AU60" s="136"/>
      <c r="AV60" s="136"/>
      <c r="AW60" s="135"/>
      <c r="AX60" s="68"/>
      <c r="AY60" s="65"/>
      <c r="AZ60" s="136"/>
      <c r="BA60" s="138"/>
      <c r="BB60" s="135"/>
      <c r="BC60" s="65"/>
      <c r="BD60" s="65"/>
      <c r="BE60" s="120"/>
      <c r="BF60" s="120"/>
      <c r="BG60" s="123"/>
      <c r="BH60" s="121"/>
      <c r="BI60" s="125"/>
      <c r="BJ60" s="139"/>
      <c r="BK60" s="125"/>
      <c r="BL60" s="140"/>
      <c r="BM60" s="125"/>
      <c r="BN60" s="125"/>
      <c r="BO60" s="139"/>
      <c r="BP60" s="125"/>
      <c r="BQ60" s="140"/>
      <c r="BR60" s="125"/>
      <c r="BS60" s="125"/>
      <c r="BT60" s="139"/>
      <c r="BU60" s="149"/>
      <c r="BV60" s="140"/>
      <c r="BW60" s="125"/>
      <c r="BX60" s="125"/>
      <c r="BY60" s="141" t="e">
        <f t="shared" si="23"/>
        <v>#VALUE!</v>
      </c>
      <c r="BZ60" s="142"/>
      <c r="CA60" s="64"/>
    </row>
    <row r="61" spans="1:79" x14ac:dyDescent="0.25">
      <c r="A61" s="115">
        <f t="shared" ref="A61:A62" si="29">IF(C61="","",A60+1)</f>
        <v>21</v>
      </c>
      <c r="B61" s="116" t="s">
        <v>267</v>
      </c>
      <c r="C61" s="118" t="s">
        <v>268</v>
      </c>
      <c r="D61" s="118" t="s">
        <v>178</v>
      </c>
      <c r="E61" s="118" t="s">
        <v>179</v>
      </c>
      <c r="F61" s="118" t="s">
        <v>191</v>
      </c>
      <c r="G61" s="117" t="str">
        <f t="shared" si="0"/>
        <v>Kostas_Kostas-off shore</v>
      </c>
      <c r="H61" s="119"/>
      <c r="I61" s="150"/>
      <c r="J61" s="145"/>
      <c r="K61" s="122"/>
      <c r="L61" s="146">
        <v>0</v>
      </c>
      <c r="M61" s="146"/>
      <c r="N61" s="145"/>
      <c r="O61" s="124">
        <v>0</v>
      </c>
      <c r="P61" s="125">
        <v>0</v>
      </c>
      <c r="Q61" s="125">
        <v>0</v>
      </c>
      <c r="R61" s="125"/>
      <c r="S61" s="125"/>
      <c r="T61" s="125"/>
      <c r="U61" s="125"/>
      <c r="V61" s="125">
        <v>0</v>
      </c>
      <c r="W61" s="125"/>
      <c r="X61" s="125"/>
      <c r="Y61" s="126"/>
      <c r="Z61" s="127">
        <v>0</v>
      </c>
      <c r="AA61" s="128">
        <v>0</v>
      </c>
      <c r="AB61" s="129">
        <f t="shared" si="22"/>
        <v>0</v>
      </c>
      <c r="AC61" s="130"/>
      <c r="AD61" s="131" t="str">
        <f t="shared" si="2"/>
        <v>Kostas-off shore</v>
      </c>
      <c r="AE61" s="132"/>
      <c r="AF61" s="132"/>
      <c r="AG61" s="136"/>
      <c r="AH61" s="135"/>
      <c r="AI61" s="135"/>
      <c r="AJ61" s="65"/>
      <c r="AK61" s="136"/>
      <c r="AL61" s="162"/>
      <c r="AM61" s="135"/>
      <c r="AN61" s="137"/>
      <c r="AO61" s="65"/>
      <c r="AP61" s="136"/>
      <c r="AQ61" s="136"/>
      <c r="AR61" s="135"/>
      <c r="AS61" s="137"/>
      <c r="AT61" s="65"/>
      <c r="AU61" s="136"/>
      <c r="AV61" s="136"/>
      <c r="AW61" s="135"/>
      <c r="AX61" s="68"/>
      <c r="AY61" s="65"/>
      <c r="AZ61" s="136"/>
      <c r="BA61" s="138"/>
      <c r="BB61" s="135"/>
      <c r="BC61" s="65"/>
      <c r="BD61" s="65"/>
      <c r="BE61" s="120"/>
      <c r="BF61" s="120"/>
      <c r="BG61" s="123"/>
      <c r="BH61" s="121"/>
      <c r="BI61" s="125"/>
      <c r="BJ61" s="139"/>
      <c r="BK61" s="125"/>
      <c r="BL61" s="140"/>
      <c r="BM61" s="125"/>
      <c r="BN61" s="125"/>
      <c r="BO61" s="139"/>
      <c r="BP61" s="125"/>
      <c r="BQ61" s="140"/>
      <c r="BR61" s="125"/>
      <c r="BS61" s="125"/>
      <c r="BT61" s="139"/>
      <c r="BU61" s="149"/>
      <c r="BV61" s="140"/>
      <c r="BW61" s="125"/>
      <c r="BX61" s="125"/>
      <c r="BY61" s="141" t="e">
        <f t="shared" si="23"/>
        <v>#VALUE!</v>
      </c>
      <c r="BZ61" s="142"/>
      <c r="CA61" s="64"/>
    </row>
    <row r="62" spans="1:79" x14ac:dyDescent="0.25">
      <c r="A62" s="115">
        <f t="shared" si="29"/>
        <v>22</v>
      </c>
      <c r="B62" s="153" t="s">
        <v>269</v>
      </c>
      <c r="C62" s="118" t="s">
        <v>270</v>
      </c>
      <c r="D62" s="118" t="s">
        <v>178</v>
      </c>
      <c r="E62" s="118" t="s">
        <v>194</v>
      </c>
      <c r="F62" s="118" t="s">
        <v>191</v>
      </c>
      <c r="G62" s="117" t="str">
        <f t="shared" si="0"/>
        <v>Tonka_AYB Landing page</v>
      </c>
      <c r="H62" s="119"/>
      <c r="I62" s="150"/>
      <c r="J62" s="145"/>
      <c r="K62" s="122"/>
      <c r="L62" s="146">
        <v>0</v>
      </c>
      <c r="M62" s="146"/>
      <c r="N62" s="145"/>
      <c r="O62" s="124">
        <v>0</v>
      </c>
      <c r="P62" s="125">
        <v>0</v>
      </c>
      <c r="Q62" s="125">
        <v>0</v>
      </c>
      <c r="R62" s="125"/>
      <c r="S62" s="125"/>
      <c r="T62" s="125"/>
      <c r="U62" s="125"/>
      <c r="V62" s="125">
        <v>0</v>
      </c>
      <c r="W62" s="125"/>
      <c r="X62" s="125"/>
      <c r="Y62" s="126"/>
      <c r="Z62" s="127">
        <v>0</v>
      </c>
      <c r="AA62" s="128">
        <v>0</v>
      </c>
      <c r="AB62" s="129">
        <f t="shared" si="22"/>
        <v>0</v>
      </c>
      <c r="AC62" s="130"/>
      <c r="AD62" s="131" t="str">
        <f t="shared" si="2"/>
        <v>AYB Landing page</v>
      </c>
      <c r="AE62" s="132"/>
      <c r="AF62" s="132"/>
      <c r="AG62" s="136"/>
      <c r="AH62" s="135"/>
      <c r="AI62" s="135"/>
      <c r="AJ62" s="65"/>
      <c r="AK62" s="136"/>
      <c r="AL62" s="162"/>
      <c r="AM62" s="135"/>
      <c r="AN62" s="137"/>
      <c r="AO62" s="65"/>
      <c r="AP62" s="136"/>
      <c r="AQ62" s="136"/>
      <c r="AR62" s="135"/>
      <c r="AS62" s="137"/>
      <c r="AT62" s="65"/>
      <c r="AU62" s="136"/>
      <c r="AV62" s="136"/>
      <c r="AW62" s="135"/>
      <c r="AX62" s="68"/>
      <c r="AY62" s="65"/>
      <c r="AZ62" s="136"/>
      <c r="BA62" s="138"/>
      <c r="BB62" s="135"/>
      <c r="BC62" s="65"/>
      <c r="BD62" s="65"/>
      <c r="BE62" s="120"/>
      <c r="BF62" s="120"/>
      <c r="BG62" s="123"/>
      <c r="BH62" s="121"/>
      <c r="BI62" s="125"/>
      <c r="BJ62" s="139"/>
      <c r="BK62" s="125"/>
      <c r="BL62" s="140"/>
      <c r="BM62" s="125"/>
      <c r="BN62" s="125"/>
      <c r="BO62" s="139"/>
      <c r="BP62" s="125"/>
      <c r="BQ62" s="140"/>
      <c r="BR62" s="125"/>
      <c r="BS62" s="125"/>
      <c r="BT62" s="139"/>
      <c r="BU62" s="149"/>
      <c r="BV62" s="140"/>
      <c r="BW62" s="125"/>
      <c r="BX62" s="125"/>
      <c r="BY62" s="141" t="e">
        <f t="shared" si="23"/>
        <v>#VALUE!</v>
      </c>
      <c r="BZ62" s="142"/>
      <c r="CA62" s="64"/>
    </row>
    <row r="63" spans="1:79" x14ac:dyDescent="0.25">
      <c r="A63" s="115">
        <v>21</v>
      </c>
      <c r="B63" s="118"/>
      <c r="C63" s="118" t="s">
        <v>271</v>
      </c>
      <c r="D63" s="118" t="s">
        <v>183</v>
      </c>
      <c r="E63" s="118"/>
      <c r="F63" s="118" t="s">
        <v>180</v>
      </c>
      <c r="G63" s="117" t="str">
        <f t="shared" si="0"/>
        <v>_AI OCR</v>
      </c>
      <c r="H63" s="119"/>
      <c r="I63" s="150"/>
      <c r="J63" s="145"/>
      <c r="K63" s="122"/>
      <c r="L63" s="146">
        <v>0</v>
      </c>
      <c r="M63" s="146"/>
      <c r="N63" s="145"/>
      <c r="O63" s="124">
        <v>0</v>
      </c>
      <c r="P63" s="125">
        <v>0</v>
      </c>
      <c r="Q63" s="125">
        <v>0</v>
      </c>
      <c r="R63" s="125"/>
      <c r="S63" s="125"/>
      <c r="T63" s="125"/>
      <c r="U63" s="125"/>
      <c r="V63" s="125">
        <v>0</v>
      </c>
      <c r="W63" s="125"/>
      <c r="X63" s="125"/>
      <c r="Y63" s="126"/>
      <c r="Z63" s="127">
        <v>0</v>
      </c>
      <c r="AA63" s="128">
        <v>0</v>
      </c>
      <c r="AB63" s="129">
        <f t="shared" si="22"/>
        <v>0</v>
      </c>
      <c r="AC63" s="130"/>
      <c r="AD63" s="131" t="str">
        <f t="shared" si="2"/>
        <v>AI OCR</v>
      </c>
      <c r="AE63" s="132"/>
      <c r="AF63" s="132"/>
      <c r="AG63" s="136"/>
      <c r="AH63" s="135"/>
      <c r="AI63" s="135"/>
      <c r="AJ63" s="65"/>
      <c r="AK63" s="136"/>
      <c r="AL63" s="162"/>
      <c r="AM63" s="135"/>
      <c r="AN63" s="137"/>
      <c r="AO63" s="65"/>
      <c r="AP63" s="136"/>
      <c r="AQ63" s="136"/>
      <c r="AR63" s="135"/>
      <c r="AS63" s="137"/>
      <c r="AT63" s="65"/>
      <c r="AU63" s="136"/>
      <c r="AV63" s="136"/>
      <c r="AW63" s="135"/>
      <c r="AX63" s="68"/>
      <c r="AY63" s="65"/>
      <c r="AZ63" s="136"/>
      <c r="BA63" s="138"/>
      <c r="BB63" s="135"/>
      <c r="BC63" s="65"/>
      <c r="BD63" s="65"/>
      <c r="BE63" s="120"/>
      <c r="BF63" s="120"/>
      <c r="BG63" s="123"/>
      <c r="BH63" s="121"/>
      <c r="BI63" s="125"/>
      <c r="BJ63" s="139"/>
      <c r="BK63" s="125"/>
      <c r="BL63" s="140"/>
      <c r="BM63" s="125"/>
      <c r="BN63" s="125"/>
      <c r="BO63" s="139"/>
      <c r="BP63" s="125"/>
      <c r="BQ63" s="140"/>
      <c r="BR63" s="125"/>
      <c r="BS63" s="125"/>
      <c r="BT63" s="139"/>
      <c r="BU63" s="149"/>
      <c r="BV63" s="140"/>
      <c r="BW63" s="125"/>
      <c r="BX63" s="125"/>
      <c r="BY63" s="141" t="e">
        <f t="shared" si="23"/>
        <v>#VALUE!</v>
      </c>
      <c r="BZ63" s="142"/>
      <c r="CA63" s="64"/>
    </row>
    <row r="64" spans="1:79" x14ac:dyDescent="0.25">
      <c r="A64" s="115">
        <f t="shared" ref="A64:A65" si="30">IF(C64="","",A63+1)</f>
        <v>22</v>
      </c>
      <c r="B64" s="153" t="s">
        <v>172</v>
      </c>
      <c r="C64" s="118" t="s">
        <v>272</v>
      </c>
      <c r="D64" s="118" t="s">
        <v>183</v>
      </c>
      <c r="E64" s="118"/>
      <c r="F64" s="118" t="s">
        <v>180</v>
      </c>
      <c r="G64" s="117" t="str">
        <f t="shared" si="0"/>
        <v>Inhouse_Warmfeet</v>
      </c>
      <c r="H64" s="119"/>
      <c r="I64" s="150"/>
      <c r="J64" s="145"/>
      <c r="K64" s="122"/>
      <c r="L64" s="146">
        <v>0</v>
      </c>
      <c r="M64" s="146"/>
      <c r="N64" s="145"/>
      <c r="O64" s="124">
        <v>0</v>
      </c>
      <c r="P64" s="125">
        <v>0</v>
      </c>
      <c r="Q64" s="125">
        <v>0</v>
      </c>
      <c r="R64" s="125"/>
      <c r="S64" s="125"/>
      <c r="T64" s="125"/>
      <c r="U64" s="125"/>
      <c r="V64" s="125">
        <v>0</v>
      </c>
      <c r="W64" s="125"/>
      <c r="X64" s="125"/>
      <c r="Y64" s="126"/>
      <c r="Z64" s="127">
        <v>0</v>
      </c>
      <c r="AA64" s="128">
        <v>0</v>
      </c>
      <c r="AB64" s="129">
        <f t="shared" si="22"/>
        <v>0</v>
      </c>
      <c r="AC64" s="130"/>
      <c r="AD64" s="131" t="str">
        <f t="shared" si="2"/>
        <v>Warmfeet</v>
      </c>
      <c r="AE64" s="132"/>
      <c r="AF64" s="132"/>
      <c r="AG64" s="136"/>
      <c r="AH64" s="135"/>
      <c r="AI64" s="135"/>
      <c r="AJ64" s="65"/>
      <c r="AK64" s="136"/>
      <c r="AL64" s="162"/>
      <c r="AM64" s="135"/>
      <c r="AN64" s="137"/>
      <c r="AO64" s="65"/>
      <c r="AP64" s="136"/>
      <c r="AQ64" s="136"/>
      <c r="AR64" s="135"/>
      <c r="AS64" s="137"/>
      <c r="AT64" s="65"/>
      <c r="AU64" s="136"/>
      <c r="AV64" s="136"/>
      <c r="AW64" s="135"/>
      <c r="AX64" s="68"/>
      <c r="AY64" s="65"/>
      <c r="AZ64" s="136"/>
      <c r="BA64" s="138"/>
      <c r="BB64" s="135"/>
      <c r="BC64" s="65"/>
      <c r="BD64" s="65"/>
      <c r="BE64" s="120"/>
      <c r="BF64" s="120"/>
      <c r="BG64" s="123"/>
      <c r="BH64" s="121"/>
      <c r="BI64" s="125"/>
      <c r="BJ64" s="139"/>
      <c r="BK64" s="125"/>
      <c r="BL64" s="140"/>
      <c r="BM64" s="125"/>
      <c r="BN64" s="125"/>
      <c r="BO64" s="139"/>
      <c r="BP64" s="125"/>
      <c r="BQ64" s="140"/>
      <c r="BR64" s="125"/>
      <c r="BS64" s="125"/>
      <c r="BT64" s="139"/>
      <c r="BU64" s="149"/>
      <c r="BV64" s="140"/>
      <c r="BW64" s="125"/>
      <c r="BX64" s="125"/>
      <c r="BY64" s="141" t="e">
        <f t="shared" si="23"/>
        <v>#VALUE!</v>
      </c>
      <c r="BZ64" s="142"/>
      <c r="CA64" s="64"/>
    </row>
    <row r="65" spans="1:79" x14ac:dyDescent="0.25">
      <c r="A65" s="115">
        <f t="shared" si="30"/>
        <v>23</v>
      </c>
      <c r="B65" s="153" t="s">
        <v>273</v>
      </c>
      <c r="C65" s="118" t="s">
        <v>274</v>
      </c>
      <c r="D65" s="118" t="s">
        <v>178</v>
      </c>
      <c r="E65" s="118" t="s">
        <v>194</v>
      </c>
      <c r="F65" s="118" t="s">
        <v>180</v>
      </c>
      <c r="G65" s="117" t="str">
        <f t="shared" si="0"/>
        <v>Anis Carmats_Shopify</v>
      </c>
      <c r="H65" s="119"/>
      <c r="I65" s="150"/>
      <c r="J65" s="145"/>
      <c r="K65" s="122"/>
      <c r="L65" s="146">
        <v>0</v>
      </c>
      <c r="M65" s="146"/>
      <c r="N65" s="145"/>
      <c r="O65" s="124">
        <v>0</v>
      </c>
      <c r="P65" s="125">
        <v>0</v>
      </c>
      <c r="Q65" s="125">
        <v>0</v>
      </c>
      <c r="R65" s="125"/>
      <c r="S65" s="125"/>
      <c r="T65" s="125"/>
      <c r="U65" s="125"/>
      <c r="V65" s="125">
        <v>0</v>
      </c>
      <c r="W65" s="125"/>
      <c r="X65" s="125"/>
      <c r="Y65" s="126"/>
      <c r="Z65" s="127">
        <v>0</v>
      </c>
      <c r="AA65" s="128">
        <v>0</v>
      </c>
      <c r="AB65" s="129">
        <f t="shared" si="22"/>
        <v>0</v>
      </c>
      <c r="AC65" s="130"/>
      <c r="AD65" s="131" t="str">
        <f t="shared" si="2"/>
        <v>Shopify</v>
      </c>
      <c r="AE65" s="132"/>
      <c r="AF65" s="132"/>
      <c r="AG65" s="136"/>
      <c r="AH65" s="135"/>
      <c r="AI65" s="135"/>
      <c r="AJ65" s="65"/>
      <c r="AK65" s="136"/>
      <c r="AL65" s="162"/>
      <c r="AM65" s="135"/>
      <c r="AN65" s="137"/>
      <c r="AO65" s="65"/>
      <c r="AP65" s="136"/>
      <c r="AQ65" s="136"/>
      <c r="AR65" s="135"/>
      <c r="AS65" s="137"/>
      <c r="AT65" s="65"/>
      <c r="AU65" s="136"/>
      <c r="AV65" s="136"/>
      <c r="AW65" s="135"/>
      <c r="AX65" s="68"/>
      <c r="AY65" s="65"/>
      <c r="AZ65" s="136"/>
      <c r="BA65" s="138"/>
      <c r="BB65" s="135"/>
      <c r="BC65" s="65"/>
      <c r="BD65" s="65"/>
      <c r="BE65" s="120"/>
      <c r="BF65" s="120"/>
      <c r="BG65" s="123"/>
      <c r="BH65" s="121"/>
      <c r="BI65" s="125"/>
      <c r="BJ65" s="139"/>
      <c r="BK65" s="125"/>
      <c r="BL65" s="140"/>
      <c r="BM65" s="125"/>
      <c r="BN65" s="125"/>
      <c r="BO65" s="139"/>
      <c r="BP65" s="125"/>
      <c r="BQ65" s="140"/>
      <c r="BR65" s="125"/>
      <c r="BS65" s="125"/>
      <c r="BT65" s="139"/>
      <c r="BU65" s="149"/>
      <c r="BV65" s="140"/>
      <c r="BW65" s="125"/>
      <c r="BX65" s="125"/>
      <c r="BY65" s="141" t="e">
        <f t="shared" si="23"/>
        <v>#VALUE!</v>
      </c>
      <c r="BZ65" s="142"/>
      <c r="CA65" s="64"/>
    </row>
    <row r="66" spans="1:79" x14ac:dyDescent="0.25">
      <c r="A66" s="115">
        <v>22</v>
      </c>
      <c r="B66" s="153" t="s">
        <v>275</v>
      </c>
      <c r="C66" s="118" t="s">
        <v>276</v>
      </c>
      <c r="D66" s="118" t="s">
        <v>183</v>
      </c>
      <c r="E66" s="118" t="s">
        <v>194</v>
      </c>
      <c r="F66" s="118" t="s">
        <v>191</v>
      </c>
      <c r="G66" s="117" t="str">
        <f t="shared" si="0"/>
        <v>Prediction on Sol_Naoer (MRC20)</v>
      </c>
      <c r="H66" s="119"/>
      <c r="I66" s="150"/>
      <c r="J66" s="145"/>
      <c r="K66" s="122"/>
      <c r="L66" s="146">
        <v>0</v>
      </c>
      <c r="M66" s="146"/>
      <c r="N66" s="145"/>
      <c r="O66" s="124">
        <v>0</v>
      </c>
      <c r="P66" s="125">
        <v>0</v>
      </c>
      <c r="Q66" s="125">
        <v>0</v>
      </c>
      <c r="R66" s="125"/>
      <c r="S66" s="125"/>
      <c r="T66" s="125"/>
      <c r="U66" s="125"/>
      <c r="V66" s="125">
        <v>0</v>
      </c>
      <c r="W66" s="125"/>
      <c r="X66" s="125"/>
      <c r="Y66" s="126"/>
      <c r="Z66" s="127">
        <v>0</v>
      </c>
      <c r="AA66" s="128">
        <v>0</v>
      </c>
      <c r="AB66" s="129">
        <f t="shared" si="22"/>
        <v>0</v>
      </c>
      <c r="AC66" s="130"/>
      <c r="AD66" s="131" t="str">
        <f t="shared" si="2"/>
        <v>Naoer (MRC20)</v>
      </c>
      <c r="AE66" s="132"/>
      <c r="AF66" s="132"/>
      <c r="AG66" s="136"/>
      <c r="AH66" s="135"/>
      <c r="AI66" s="135"/>
      <c r="AJ66" s="65"/>
      <c r="AK66" s="136"/>
      <c r="AL66" s="162"/>
      <c r="AM66" s="135"/>
      <c r="AN66" s="137"/>
      <c r="AO66" s="65"/>
      <c r="AP66" s="136"/>
      <c r="AQ66" s="136"/>
      <c r="AR66" s="135"/>
      <c r="AS66" s="137"/>
      <c r="AT66" s="65"/>
      <c r="AU66" s="136"/>
      <c r="AV66" s="136"/>
      <c r="AW66" s="135"/>
      <c r="AX66" s="68"/>
      <c r="AY66" s="65"/>
      <c r="AZ66" s="136"/>
      <c r="BA66" s="138"/>
      <c r="BB66" s="135"/>
      <c r="BC66" s="65"/>
      <c r="BD66" s="65"/>
      <c r="BE66" s="120"/>
      <c r="BF66" s="120"/>
      <c r="BG66" s="123"/>
      <c r="BH66" s="121"/>
      <c r="BI66" s="125"/>
      <c r="BJ66" s="139"/>
      <c r="BK66" s="125"/>
      <c r="BL66" s="140"/>
      <c r="BM66" s="125"/>
      <c r="BN66" s="125"/>
      <c r="BO66" s="139"/>
      <c r="BP66" s="125"/>
      <c r="BQ66" s="140"/>
      <c r="BR66" s="125"/>
      <c r="BS66" s="125"/>
      <c r="BT66" s="139"/>
      <c r="BU66" s="149"/>
      <c r="BV66" s="140"/>
      <c r="BW66" s="125"/>
      <c r="BX66" s="125"/>
      <c r="BY66" s="141" t="e">
        <f t="shared" si="23"/>
        <v>#VALUE!</v>
      </c>
      <c r="BZ66" s="142"/>
      <c r="CA66" s="64"/>
    </row>
    <row r="67" spans="1:79" x14ac:dyDescent="0.25">
      <c r="A67" s="115">
        <f t="shared" ref="A67:A68" si="31">IF(C67="","",A66+1)</f>
        <v>23</v>
      </c>
      <c r="B67" s="153" t="s">
        <v>277</v>
      </c>
      <c r="C67" s="118" t="s">
        <v>278</v>
      </c>
      <c r="D67" s="118" t="s">
        <v>178</v>
      </c>
      <c r="E67" s="118" t="s">
        <v>194</v>
      </c>
      <c r="F67" s="118" t="s">
        <v>191</v>
      </c>
      <c r="G67" s="117" t="str">
        <f t="shared" si="0"/>
        <v>Lee_ InuTap Bot </v>
      </c>
      <c r="H67" s="119"/>
      <c r="I67" s="150"/>
      <c r="J67" s="145"/>
      <c r="K67" s="122"/>
      <c r="L67" s="146">
        <v>0</v>
      </c>
      <c r="M67" s="146"/>
      <c r="N67" s="145"/>
      <c r="O67" s="124">
        <v>0</v>
      </c>
      <c r="P67" s="125">
        <v>0</v>
      </c>
      <c r="Q67" s="125">
        <v>0</v>
      </c>
      <c r="R67" s="125"/>
      <c r="S67" s="125"/>
      <c r="T67" s="125"/>
      <c r="U67" s="125"/>
      <c r="V67" s="125">
        <v>0</v>
      </c>
      <c r="W67" s="125"/>
      <c r="X67" s="125"/>
      <c r="Y67" s="126"/>
      <c r="Z67" s="127">
        <v>0</v>
      </c>
      <c r="AA67" s="128">
        <v>0</v>
      </c>
      <c r="AB67" s="129">
        <f t="shared" si="22"/>
        <v>0</v>
      </c>
      <c r="AC67" s="130"/>
      <c r="AD67" s="131" t="str">
        <f t="shared" si="2"/>
        <v> InuTap Bot </v>
      </c>
      <c r="AE67" s="132"/>
      <c r="AF67" s="132"/>
      <c r="AG67" s="136"/>
      <c r="AH67" s="135"/>
      <c r="AI67" s="135"/>
      <c r="AJ67" s="65"/>
      <c r="AK67" s="136"/>
      <c r="AL67" s="162"/>
      <c r="AM67" s="135"/>
      <c r="AN67" s="137"/>
      <c r="AO67" s="65"/>
      <c r="AP67" s="136"/>
      <c r="AQ67" s="136"/>
      <c r="AR67" s="135"/>
      <c r="AS67" s="137"/>
      <c r="AT67" s="65"/>
      <c r="AU67" s="136"/>
      <c r="AV67" s="136"/>
      <c r="AW67" s="135"/>
      <c r="AX67" s="68"/>
      <c r="AY67" s="65"/>
      <c r="AZ67" s="136"/>
      <c r="BA67" s="138"/>
      <c r="BB67" s="135"/>
      <c r="BC67" s="65"/>
      <c r="BD67" s="65"/>
      <c r="BE67" s="120"/>
      <c r="BF67" s="120"/>
      <c r="BG67" s="123"/>
      <c r="BH67" s="121"/>
      <c r="BI67" s="125"/>
      <c r="BJ67" s="139"/>
      <c r="BK67" s="125"/>
      <c r="BL67" s="140"/>
      <c r="BM67" s="125"/>
      <c r="BN67" s="125"/>
      <c r="BO67" s="139"/>
      <c r="BP67" s="125"/>
      <c r="BQ67" s="140"/>
      <c r="BR67" s="125"/>
      <c r="BS67" s="125"/>
      <c r="BT67" s="139"/>
      <c r="BU67" s="149"/>
      <c r="BV67" s="140"/>
      <c r="BW67" s="125"/>
      <c r="BX67" s="125"/>
      <c r="BY67" s="141" t="e">
        <f t="shared" si="23"/>
        <v>#VALUE!</v>
      </c>
      <c r="BZ67" s="142"/>
      <c r="CA67" s="64"/>
    </row>
    <row r="68" spans="1:79" x14ac:dyDescent="0.25">
      <c r="A68" s="115">
        <f t="shared" si="31"/>
        <v>24</v>
      </c>
      <c r="B68" s="153" t="s">
        <v>279</v>
      </c>
      <c r="C68" s="118" t="s">
        <v>280</v>
      </c>
      <c r="D68" s="118" t="s">
        <v>178</v>
      </c>
      <c r="E68" s="118" t="s">
        <v>179</v>
      </c>
      <c r="F68" s="118" t="s">
        <v>180</v>
      </c>
      <c r="G68" s="117" t="str">
        <f t="shared" si="0"/>
        <v>MOHA_MOHA_Watashino Application</v>
      </c>
      <c r="H68" s="119"/>
      <c r="I68" s="150"/>
      <c r="J68" s="145"/>
      <c r="K68" s="122"/>
      <c r="L68" s="146">
        <v>0</v>
      </c>
      <c r="M68" s="146"/>
      <c r="N68" s="145"/>
      <c r="O68" s="124">
        <v>0</v>
      </c>
      <c r="P68" s="125">
        <v>0</v>
      </c>
      <c r="Q68" s="125">
        <v>0</v>
      </c>
      <c r="R68" s="125"/>
      <c r="S68" s="125"/>
      <c r="T68" s="125"/>
      <c r="U68" s="125"/>
      <c r="V68" s="125">
        <v>0</v>
      </c>
      <c r="W68" s="125"/>
      <c r="X68" s="125"/>
      <c r="Y68" s="126"/>
      <c r="Z68" s="127">
        <v>0</v>
      </c>
      <c r="AA68" s="128">
        <v>0</v>
      </c>
      <c r="AB68" s="129">
        <f t="shared" si="22"/>
        <v>0</v>
      </c>
      <c r="AC68" s="130"/>
      <c r="AD68" s="131" t="str">
        <f t="shared" si="2"/>
        <v>MOHA_Watashino Application</v>
      </c>
      <c r="AE68" s="132"/>
      <c r="AF68" s="132"/>
      <c r="AG68" s="136"/>
      <c r="AH68" s="135"/>
      <c r="AI68" s="135"/>
      <c r="AJ68" s="65"/>
      <c r="AK68" s="136"/>
      <c r="AL68" s="162"/>
      <c r="AM68" s="135"/>
      <c r="AN68" s="137"/>
      <c r="AO68" s="65"/>
      <c r="AP68" s="136"/>
      <c r="AQ68" s="136"/>
      <c r="AR68" s="135"/>
      <c r="AS68" s="137"/>
      <c r="AT68" s="65"/>
      <c r="AU68" s="136"/>
      <c r="AV68" s="136"/>
      <c r="AW68" s="135"/>
      <c r="AX68" s="68"/>
      <c r="AY68" s="65"/>
      <c r="AZ68" s="136"/>
      <c r="BA68" s="138"/>
      <c r="BB68" s="135"/>
      <c r="BC68" s="65"/>
      <c r="BD68" s="65"/>
      <c r="BE68" s="120"/>
      <c r="BF68" s="120"/>
      <c r="BG68" s="123"/>
      <c r="BH68" s="121"/>
      <c r="BI68" s="125"/>
      <c r="BJ68" s="139"/>
      <c r="BK68" s="125"/>
      <c r="BL68" s="140"/>
      <c r="BM68" s="125"/>
      <c r="BN68" s="125"/>
      <c r="BO68" s="139"/>
      <c r="BP68" s="125"/>
      <c r="BQ68" s="140"/>
      <c r="BR68" s="125"/>
      <c r="BS68" s="125"/>
      <c r="BT68" s="139"/>
      <c r="BU68" s="149"/>
      <c r="BV68" s="140"/>
      <c r="BW68" s="125"/>
      <c r="BX68" s="125"/>
      <c r="BY68" s="141" t="e">
        <f t="shared" si="23"/>
        <v>#VALUE!</v>
      </c>
      <c r="BZ68" s="142"/>
      <c r="CA68" s="64"/>
    </row>
    <row r="69" spans="1:79" x14ac:dyDescent="0.25">
      <c r="A69" s="115">
        <v>23</v>
      </c>
      <c r="B69" s="153" t="s">
        <v>256</v>
      </c>
      <c r="C69" s="118" t="s">
        <v>281</v>
      </c>
      <c r="D69" s="118" t="s">
        <v>178</v>
      </c>
      <c r="E69" s="118" t="s">
        <v>194</v>
      </c>
      <c r="F69" s="118" t="s">
        <v>180</v>
      </c>
      <c r="G69" s="117" t="str">
        <f t="shared" si="0"/>
        <v>Golive_Golive_PHP</v>
      </c>
      <c r="H69" s="119"/>
      <c r="I69" s="150"/>
      <c r="J69" s="145"/>
      <c r="K69" s="122"/>
      <c r="L69" s="146">
        <v>0</v>
      </c>
      <c r="M69" s="146"/>
      <c r="N69" s="145"/>
      <c r="O69" s="124">
        <v>0</v>
      </c>
      <c r="P69" s="125">
        <v>0</v>
      </c>
      <c r="Q69" s="125">
        <v>0</v>
      </c>
      <c r="R69" s="125"/>
      <c r="S69" s="125"/>
      <c r="T69" s="125"/>
      <c r="U69" s="125"/>
      <c r="V69" s="125">
        <v>0</v>
      </c>
      <c r="W69" s="125"/>
      <c r="X69" s="125"/>
      <c r="Y69" s="126"/>
      <c r="Z69" s="127">
        <v>0</v>
      </c>
      <c r="AA69" s="128">
        <v>0</v>
      </c>
      <c r="AB69" s="129">
        <f t="shared" si="22"/>
        <v>0</v>
      </c>
      <c r="AC69" s="130"/>
      <c r="AD69" s="131" t="str">
        <f t="shared" si="2"/>
        <v>Golive_PHP</v>
      </c>
      <c r="AE69" s="132"/>
      <c r="AF69" s="132"/>
      <c r="AG69" s="136"/>
      <c r="AH69" s="135"/>
      <c r="AI69" s="135"/>
      <c r="AJ69" s="65"/>
      <c r="AK69" s="136"/>
      <c r="AL69" s="162"/>
      <c r="AM69" s="135"/>
      <c r="AN69" s="137"/>
      <c r="AO69" s="65"/>
      <c r="AP69" s="136"/>
      <c r="AQ69" s="136"/>
      <c r="AR69" s="135"/>
      <c r="AS69" s="137"/>
      <c r="AT69" s="65"/>
      <c r="AU69" s="136"/>
      <c r="AV69" s="136"/>
      <c r="AW69" s="135"/>
      <c r="AX69" s="68"/>
      <c r="AY69" s="65"/>
      <c r="AZ69" s="136"/>
      <c r="BA69" s="138"/>
      <c r="BB69" s="135"/>
      <c r="BC69" s="65"/>
      <c r="BD69" s="65"/>
      <c r="BE69" s="120"/>
      <c r="BF69" s="120"/>
      <c r="BG69" s="123"/>
      <c r="BH69" s="121"/>
      <c r="BI69" s="125"/>
      <c r="BJ69" s="139"/>
      <c r="BK69" s="125"/>
      <c r="BL69" s="140"/>
      <c r="BM69" s="125"/>
      <c r="BN69" s="125"/>
      <c r="BO69" s="139"/>
      <c r="BP69" s="125"/>
      <c r="BQ69" s="140"/>
      <c r="BR69" s="125"/>
      <c r="BS69" s="125"/>
      <c r="BT69" s="139"/>
      <c r="BU69" s="149"/>
      <c r="BV69" s="140"/>
      <c r="BW69" s="125"/>
      <c r="BX69" s="125"/>
      <c r="BY69" s="141" t="e">
        <f t="shared" si="23"/>
        <v>#VALUE!</v>
      </c>
      <c r="BZ69" s="142"/>
      <c r="CA69" s="64"/>
    </row>
    <row r="70" spans="1:79" x14ac:dyDescent="0.25">
      <c r="A70" s="115">
        <f t="shared" ref="A70:A71" si="32">IF(C70="","",A69+1)</f>
        <v>24</v>
      </c>
      <c r="B70" s="153" t="s">
        <v>172</v>
      </c>
      <c r="C70" s="118" t="s">
        <v>282</v>
      </c>
      <c r="D70" s="118" t="s">
        <v>183</v>
      </c>
      <c r="E70" s="118"/>
      <c r="F70" s="118" t="s">
        <v>191</v>
      </c>
      <c r="G70" s="117" t="str">
        <f t="shared" si="0"/>
        <v>Inhouse_Internal sourcing</v>
      </c>
      <c r="H70" s="119"/>
      <c r="I70" s="150"/>
      <c r="J70" s="145"/>
      <c r="K70" s="122"/>
      <c r="L70" s="146">
        <v>0</v>
      </c>
      <c r="M70" s="146"/>
      <c r="N70" s="145"/>
      <c r="O70" s="124">
        <v>0</v>
      </c>
      <c r="P70" s="125">
        <v>0</v>
      </c>
      <c r="Q70" s="125">
        <v>0</v>
      </c>
      <c r="R70" s="125"/>
      <c r="S70" s="125"/>
      <c r="T70" s="125"/>
      <c r="U70" s="125"/>
      <c r="V70" s="125">
        <v>0</v>
      </c>
      <c r="W70" s="125"/>
      <c r="X70" s="125"/>
      <c r="Y70" s="126"/>
      <c r="Z70" s="127">
        <v>0</v>
      </c>
      <c r="AA70" s="128">
        <v>0</v>
      </c>
      <c r="AB70" s="129">
        <f t="shared" si="22"/>
        <v>0</v>
      </c>
      <c r="AC70" s="130"/>
      <c r="AD70" s="131" t="str">
        <f t="shared" si="2"/>
        <v>Internal sourcing</v>
      </c>
      <c r="AE70" s="132"/>
      <c r="AF70" s="132"/>
      <c r="AG70" s="136"/>
      <c r="AH70" s="135"/>
      <c r="AI70" s="135"/>
      <c r="AJ70" s="65"/>
      <c r="AK70" s="136"/>
      <c r="AL70" s="162"/>
      <c r="AM70" s="135"/>
      <c r="AN70" s="137"/>
      <c r="AO70" s="65"/>
      <c r="AP70" s="136"/>
      <c r="AQ70" s="136"/>
      <c r="AR70" s="135"/>
      <c r="AS70" s="137"/>
      <c r="AT70" s="65"/>
      <c r="AU70" s="136"/>
      <c r="AV70" s="136"/>
      <c r="AW70" s="135"/>
      <c r="AX70" s="68"/>
      <c r="AY70" s="65"/>
      <c r="AZ70" s="136"/>
      <c r="BA70" s="138"/>
      <c r="BB70" s="135"/>
      <c r="BC70" s="65"/>
      <c r="BD70" s="65"/>
      <c r="BE70" s="120"/>
      <c r="BF70" s="120"/>
      <c r="BG70" s="123"/>
      <c r="BH70" s="121"/>
      <c r="BI70" s="125"/>
      <c r="BJ70" s="139"/>
      <c r="BK70" s="125"/>
      <c r="BL70" s="140"/>
      <c r="BM70" s="125"/>
      <c r="BN70" s="125"/>
      <c r="BO70" s="139"/>
      <c r="BP70" s="125"/>
      <c r="BQ70" s="140"/>
      <c r="BR70" s="125"/>
      <c r="BS70" s="125"/>
      <c r="BT70" s="139"/>
      <c r="BU70" s="149"/>
      <c r="BV70" s="140"/>
      <c r="BW70" s="125"/>
      <c r="BX70" s="125"/>
      <c r="BY70" s="141" t="e">
        <f t="shared" si="23"/>
        <v>#VALUE!</v>
      </c>
      <c r="BZ70" s="142"/>
      <c r="CA70" s="64"/>
    </row>
    <row r="71" spans="1:79" x14ac:dyDescent="0.25">
      <c r="A71" s="115">
        <f t="shared" si="32"/>
        <v>25</v>
      </c>
      <c r="B71" s="153" t="s">
        <v>283</v>
      </c>
      <c r="C71" s="118" t="s">
        <v>284</v>
      </c>
      <c r="D71" s="118" t="s">
        <v>178</v>
      </c>
      <c r="E71" s="118" t="s">
        <v>194</v>
      </c>
      <c r="F71" s="118" t="s">
        <v>191</v>
      </c>
      <c r="G71" s="117" t="str">
        <f t="shared" si="0"/>
        <v>C0ins_Whatexchange</v>
      </c>
      <c r="H71" s="119"/>
      <c r="I71" s="150"/>
      <c r="J71" s="145"/>
      <c r="K71" s="122"/>
      <c r="L71" s="146">
        <v>0</v>
      </c>
      <c r="M71" s="146"/>
      <c r="N71" s="145"/>
      <c r="O71" s="124">
        <v>0</v>
      </c>
      <c r="P71" s="125">
        <v>0</v>
      </c>
      <c r="Q71" s="125">
        <v>0</v>
      </c>
      <c r="R71" s="125"/>
      <c r="S71" s="125"/>
      <c r="T71" s="125"/>
      <c r="U71" s="125"/>
      <c r="V71" s="125">
        <v>0</v>
      </c>
      <c r="W71" s="125"/>
      <c r="X71" s="125"/>
      <c r="Y71" s="126"/>
      <c r="Z71" s="127">
        <v>0</v>
      </c>
      <c r="AA71" s="128">
        <v>0</v>
      </c>
      <c r="AB71" s="129">
        <f t="shared" si="22"/>
        <v>0</v>
      </c>
      <c r="AC71" s="130"/>
      <c r="AD71" s="131" t="str">
        <f t="shared" si="2"/>
        <v>Whatexchange</v>
      </c>
      <c r="AE71" s="132"/>
      <c r="AF71" s="132"/>
      <c r="AG71" s="136"/>
      <c r="AH71" s="135"/>
      <c r="AI71" s="135"/>
      <c r="AJ71" s="65"/>
      <c r="AK71" s="136"/>
      <c r="AL71" s="162"/>
      <c r="AM71" s="135"/>
      <c r="AN71" s="137"/>
      <c r="AO71" s="65"/>
      <c r="AP71" s="136"/>
      <c r="AQ71" s="136"/>
      <c r="AR71" s="135"/>
      <c r="AS71" s="137"/>
      <c r="AT71" s="65"/>
      <c r="AU71" s="136"/>
      <c r="AV71" s="136"/>
      <c r="AW71" s="135"/>
      <c r="AX71" s="68"/>
      <c r="AY71" s="65"/>
      <c r="AZ71" s="136"/>
      <c r="BA71" s="138"/>
      <c r="BB71" s="135"/>
      <c r="BC71" s="65"/>
      <c r="BD71" s="65"/>
      <c r="BE71" s="120"/>
      <c r="BF71" s="120"/>
      <c r="BG71" s="123"/>
      <c r="BH71" s="121"/>
      <c r="BI71" s="125"/>
      <c r="BJ71" s="139"/>
      <c r="BK71" s="125"/>
      <c r="BL71" s="140"/>
      <c r="BM71" s="125"/>
      <c r="BN71" s="125"/>
      <c r="BO71" s="139"/>
      <c r="BP71" s="125"/>
      <c r="BQ71" s="140"/>
      <c r="BR71" s="125"/>
      <c r="BS71" s="125"/>
      <c r="BT71" s="139"/>
      <c r="BU71" s="149"/>
      <c r="BV71" s="140"/>
      <c r="BW71" s="125"/>
      <c r="BX71" s="125"/>
      <c r="BY71" s="141" t="e">
        <f t="shared" si="23"/>
        <v>#VALUE!</v>
      </c>
      <c r="BZ71" s="142"/>
      <c r="CA71" s="64"/>
    </row>
    <row r="72" spans="1:79" x14ac:dyDescent="0.25">
      <c r="A72" s="115">
        <v>24</v>
      </c>
      <c r="B72" s="118"/>
      <c r="C72" s="118" t="s">
        <v>285</v>
      </c>
      <c r="D72" s="118" t="s">
        <v>178</v>
      </c>
      <c r="E72" s="118" t="s">
        <v>194</v>
      </c>
      <c r="F72" s="118" t="s">
        <v>191</v>
      </c>
      <c r="G72" s="117" t="str">
        <f t="shared" si="0"/>
        <v>_Racer BSX</v>
      </c>
      <c r="H72" s="119"/>
      <c r="I72" s="150"/>
      <c r="J72" s="145"/>
      <c r="K72" s="122"/>
      <c r="L72" s="146">
        <v>0</v>
      </c>
      <c r="M72" s="146"/>
      <c r="N72" s="145"/>
      <c r="O72" s="124">
        <v>0</v>
      </c>
      <c r="P72" s="125">
        <v>0</v>
      </c>
      <c r="Q72" s="125">
        <v>0</v>
      </c>
      <c r="R72" s="125"/>
      <c r="S72" s="125"/>
      <c r="T72" s="125"/>
      <c r="U72" s="125"/>
      <c r="V72" s="125">
        <v>0</v>
      </c>
      <c r="W72" s="125"/>
      <c r="X72" s="125"/>
      <c r="Y72" s="126"/>
      <c r="Z72" s="127">
        <v>0</v>
      </c>
      <c r="AA72" s="128">
        <v>0</v>
      </c>
      <c r="AB72" s="129">
        <f t="shared" si="22"/>
        <v>0</v>
      </c>
      <c r="AC72" s="130"/>
      <c r="AD72" s="131" t="str">
        <f t="shared" si="2"/>
        <v>Racer BSX</v>
      </c>
      <c r="AE72" s="132"/>
      <c r="AF72" s="132"/>
      <c r="AG72" s="136"/>
      <c r="AH72" s="135"/>
      <c r="AI72" s="135"/>
      <c r="AJ72" s="65"/>
      <c r="AK72" s="136"/>
      <c r="AL72" s="162"/>
      <c r="AM72" s="135"/>
      <c r="AN72" s="137"/>
      <c r="AO72" s="65"/>
      <c r="AP72" s="136"/>
      <c r="AQ72" s="136"/>
      <c r="AR72" s="135"/>
      <c r="AS72" s="137"/>
      <c r="AT72" s="65"/>
      <c r="AU72" s="136"/>
      <c r="AV72" s="136"/>
      <c r="AW72" s="135"/>
      <c r="AX72" s="68"/>
      <c r="AY72" s="65"/>
      <c r="AZ72" s="136"/>
      <c r="BA72" s="138"/>
      <c r="BB72" s="135"/>
      <c r="BC72" s="65"/>
      <c r="BD72" s="65"/>
      <c r="BE72" s="139"/>
      <c r="BF72" s="120"/>
      <c r="BG72" s="123"/>
      <c r="BH72" s="121"/>
      <c r="BI72" s="125"/>
      <c r="BJ72" s="139"/>
      <c r="BK72" s="125"/>
      <c r="BL72" s="140"/>
      <c r="BM72" s="125"/>
      <c r="BN72" s="125"/>
      <c r="BO72" s="139"/>
      <c r="BP72" s="125"/>
      <c r="BQ72" s="140"/>
      <c r="BR72" s="125"/>
      <c r="BS72" s="125"/>
      <c r="BT72" s="139"/>
      <c r="BU72" s="149"/>
      <c r="BV72" s="140"/>
      <c r="BW72" s="125"/>
      <c r="BX72" s="125"/>
      <c r="BY72" s="141" t="e">
        <f t="shared" si="23"/>
        <v>#VALUE!</v>
      </c>
      <c r="BZ72" s="142"/>
      <c r="CA72" s="64"/>
    </row>
    <row r="73" spans="1:79" x14ac:dyDescent="0.25">
      <c r="A73" s="115">
        <f t="shared" ref="A73:A74" si="33">IF(C73="","",A72+1)</f>
        <v>25</v>
      </c>
      <c r="B73" s="153" t="s">
        <v>286</v>
      </c>
      <c r="C73" s="118" t="s">
        <v>287</v>
      </c>
      <c r="D73" s="118" t="s">
        <v>178</v>
      </c>
      <c r="E73" s="118" t="s">
        <v>179</v>
      </c>
      <c r="F73" s="118" t="s">
        <v>191</v>
      </c>
      <c r="G73" s="117" t="str">
        <f t="shared" si="0"/>
        <v>HOLA_Hola_MB</v>
      </c>
      <c r="H73" s="119"/>
      <c r="I73" s="150"/>
      <c r="J73" s="145"/>
      <c r="K73" s="122"/>
      <c r="L73" s="146">
        <v>0</v>
      </c>
      <c r="M73" s="146"/>
      <c r="N73" s="145"/>
      <c r="O73" s="124">
        <v>0</v>
      </c>
      <c r="P73" s="125">
        <v>0</v>
      </c>
      <c r="Q73" s="125">
        <v>0</v>
      </c>
      <c r="R73" s="125"/>
      <c r="S73" s="125"/>
      <c r="T73" s="125"/>
      <c r="U73" s="125"/>
      <c r="V73" s="125">
        <v>0</v>
      </c>
      <c r="W73" s="125"/>
      <c r="X73" s="125"/>
      <c r="Y73" s="126"/>
      <c r="Z73" s="127">
        <v>0</v>
      </c>
      <c r="AA73" s="128">
        <v>0</v>
      </c>
      <c r="AB73" s="129">
        <f t="shared" si="22"/>
        <v>0</v>
      </c>
      <c r="AC73" s="130"/>
      <c r="AD73" s="131" t="str">
        <f t="shared" si="2"/>
        <v>Hola_MB</v>
      </c>
      <c r="AE73" s="132"/>
      <c r="AF73" s="132"/>
      <c r="AG73" s="136"/>
      <c r="AH73" s="135"/>
      <c r="AI73" s="135"/>
      <c r="AJ73" s="65"/>
      <c r="AK73" s="136"/>
      <c r="AL73" s="162"/>
      <c r="AM73" s="135"/>
      <c r="AN73" s="137"/>
      <c r="AO73" s="65"/>
      <c r="AP73" s="136"/>
      <c r="AQ73" s="136"/>
      <c r="AR73" s="135"/>
      <c r="AS73" s="137"/>
      <c r="AT73" s="65"/>
      <c r="AU73" s="136"/>
      <c r="AV73" s="136"/>
      <c r="AW73" s="135"/>
      <c r="AX73" s="68"/>
      <c r="AY73" s="65"/>
      <c r="AZ73" s="136"/>
      <c r="BA73" s="138"/>
      <c r="BB73" s="135"/>
      <c r="BC73" s="65"/>
      <c r="BD73" s="65"/>
      <c r="BE73" s="139"/>
      <c r="BF73" s="120"/>
      <c r="BG73" s="123"/>
      <c r="BH73" s="121"/>
      <c r="BI73" s="125"/>
      <c r="BJ73" s="139"/>
      <c r="BK73" s="125"/>
      <c r="BL73" s="140"/>
      <c r="BM73" s="125"/>
      <c r="BN73" s="125"/>
      <c r="BO73" s="139"/>
      <c r="BP73" s="125"/>
      <c r="BQ73" s="140"/>
      <c r="BR73" s="125"/>
      <c r="BS73" s="125"/>
      <c r="BT73" s="139"/>
      <c r="BU73" s="149"/>
      <c r="BV73" s="140"/>
      <c r="BW73" s="125"/>
      <c r="BX73" s="125"/>
      <c r="BY73" s="141" t="e">
        <f t="shared" si="23"/>
        <v>#VALUE!</v>
      </c>
      <c r="BZ73" s="142"/>
      <c r="CA73" s="64"/>
    </row>
    <row r="74" spans="1:79" x14ac:dyDescent="0.25">
      <c r="A74" s="115">
        <f t="shared" si="33"/>
        <v>26</v>
      </c>
      <c r="B74" s="166" t="s">
        <v>288</v>
      </c>
      <c r="C74" s="118" t="s">
        <v>289</v>
      </c>
      <c r="D74" s="118" t="s">
        <v>183</v>
      </c>
      <c r="E74" s="118" t="s">
        <v>194</v>
      </c>
      <c r="F74" s="118" t="s">
        <v>191</v>
      </c>
      <c r="G74" s="117" t="str">
        <f t="shared" si="0"/>
        <v>Hùng_Tabswap/ Unicorn City</v>
      </c>
      <c r="H74" s="119"/>
      <c r="I74" s="150"/>
      <c r="J74" s="145"/>
      <c r="K74" s="122"/>
      <c r="L74" s="146">
        <v>0</v>
      </c>
      <c r="M74" s="146"/>
      <c r="N74" s="145"/>
      <c r="O74" s="124">
        <v>0</v>
      </c>
      <c r="P74" s="125">
        <v>0</v>
      </c>
      <c r="Q74" s="125">
        <v>0</v>
      </c>
      <c r="R74" s="125"/>
      <c r="S74" s="125"/>
      <c r="T74" s="125"/>
      <c r="U74" s="125"/>
      <c r="V74" s="125">
        <v>0</v>
      </c>
      <c r="W74" s="125"/>
      <c r="X74" s="125"/>
      <c r="Y74" s="126"/>
      <c r="Z74" s="127">
        <v>0</v>
      </c>
      <c r="AA74" s="128">
        <v>0</v>
      </c>
      <c r="AB74" s="129">
        <f t="shared" si="22"/>
        <v>0</v>
      </c>
      <c r="AC74" s="130"/>
      <c r="AD74" s="131" t="str">
        <f t="shared" si="2"/>
        <v>Tabswap/ Unicorn City</v>
      </c>
      <c r="AE74" s="132"/>
      <c r="AF74" s="132"/>
      <c r="AG74" s="136"/>
      <c r="AH74" s="135"/>
      <c r="AI74" s="135"/>
      <c r="AJ74" s="65"/>
      <c r="AK74" s="136"/>
      <c r="AL74" s="162"/>
      <c r="AM74" s="135"/>
      <c r="AN74" s="137"/>
      <c r="AO74" s="65"/>
      <c r="AP74" s="136"/>
      <c r="AQ74" s="136"/>
      <c r="AR74" s="135"/>
      <c r="AS74" s="137"/>
      <c r="AT74" s="65"/>
      <c r="AU74" s="136"/>
      <c r="AV74" s="136"/>
      <c r="AW74" s="135"/>
      <c r="AX74" s="68"/>
      <c r="AY74" s="65"/>
      <c r="AZ74" s="136"/>
      <c r="BA74" s="138"/>
      <c r="BB74" s="135"/>
      <c r="BC74" s="65"/>
      <c r="BD74" s="65"/>
      <c r="BE74" s="139"/>
      <c r="BF74" s="120"/>
      <c r="BG74" s="123"/>
      <c r="BH74" s="121"/>
      <c r="BI74" s="125"/>
      <c r="BJ74" s="139"/>
      <c r="BK74" s="125"/>
      <c r="BL74" s="140"/>
      <c r="BM74" s="125"/>
      <c r="BN74" s="125"/>
      <c r="BO74" s="139"/>
      <c r="BP74" s="125"/>
      <c r="BQ74" s="140"/>
      <c r="BR74" s="125"/>
      <c r="BS74" s="125"/>
      <c r="BT74" s="139"/>
      <c r="BU74" s="149"/>
      <c r="BV74" s="140"/>
      <c r="BW74" s="125"/>
      <c r="BX74" s="125"/>
      <c r="BY74" s="141" t="e">
        <f t="shared" si="23"/>
        <v>#VALUE!</v>
      </c>
      <c r="BZ74" s="142"/>
      <c r="CA74" s="64"/>
    </row>
    <row r="75" spans="1:79" x14ac:dyDescent="0.25">
      <c r="A75" s="115">
        <v>25</v>
      </c>
      <c r="B75" s="153" t="s">
        <v>290</v>
      </c>
      <c r="C75" s="118" t="s">
        <v>291</v>
      </c>
      <c r="D75" s="118" t="s">
        <v>178</v>
      </c>
      <c r="E75" s="118" t="s">
        <v>194</v>
      </c>
      <c r="F75" s="118" t="s">
        <v>191</v>
      </c>
      <c r="G75" s="117" t="str">
        <f t="shared" si="0"/>
        <v>Anicho_Sniper tool</v>
      </c>
      <c r="H75" s="119"/>
      <c r="I75" s="150"/>
      <c r="J75" s="145"/>
      <c r="K75" s="122"/>
      <c r="L75" s="146">
        <v>0</v>
      </c>
      <c r="M75" s="146"/>
      <c r="N75" s="145"/>
      <c r="O75" s="124">
        <v>0</v>
      </c>
      <c r="P75" s="125">
        <v>0</v>
      </c>
      <c r="Q75" s="125">
        <v>0</v>
      </c>
      <c r="R75" s="125"/>
      <c r="S75" s="125"/>
      <c r="T75" s="125"/>
      <c r="U75" s="125"/>
      <c r="V75" s="125">
        <v>0</v>
      </c>
      <c r="W75" s="125"/>
      <c r="X75" s="125"/>
      <c r="Y75" s="126"/>
      <c r="Z75" s="127">
        <v>0</v>
      </c>
      <c r="AA75" s="128">
        <v>0</v>
      </c>
      <c r="AB75" s="129">
        <f t="shared" si="22"/>
        <v>0</v>
      </c>
      <c r="AC75" s="130"/>
      <c r="AD75" s="131" t="str">
        <f t="shared" si="2"/>
        <v>Sniper tool</v>
      </c>
      <c r="AE75" s="132"/>
      <c r="AF75" s="132"/>
      <c r="AG75" s="136"/>
      <c r="AH75" s="135"/>
      <c r="AI75" s="135"/>
      <c r="AJ75" s="65"/>
      <c r="AK75" s="136"/>
      <c r="AL75" s="162"/>
      <c r="AM75" s="135"/>
      <c r="AN75" s="137"/>
      <c r="AO75" s="65"/>
      <c r="AP75" s="136"/>
      <c r="AQ75" s="136"/>
      <c r="AR75" s="135"/>
      <c r="AS75" s="137"/>
      <c r="AT75" s="65"/>
      <c r="AU75" s="136"/>
      <c r="AV75" s="136"/>
      <c r="AW75" s="135"/>
      <c r="AX75" s="68"/>
      <c r="AY75" s="65"/>
      <c r="AZ75" s="136"/>
      <c r="BA75" s="138"/>
      <c r="BB75" s="135"/>
      <c r="BC75" s="65"/>
      <c r="BD75" s="65"/>
      <c r="BE75" s="139"/>
      <c r="BF75" s="120"/>
      <c r="BG75" s="123"/>
      <c r="BH75" s="121"/>
      <c r="BI75" s="125"/>
      <c r="BJ75" s="139"/>
      <c r="BK75" s="125"/>
      <c r="BL75" s="140"/>
      <c r="BM75" s="125"/>
      <c r="BN75" s="125"/>
      <c r="BO75" s="139"/>
      <c r="BP75" s="125"/>
      <c r="BQ75" s="140"/>
      <c r="BR75" s="125"/>
      <c r="BS75" s="125"/>
      <c r="BT75" s="139"/>
      <c r="BU75" s="149"/>
      <c r="BV75" s="140"/>
      <c r="BW75" s="125"/>
      <c r="BX75" s="125"/>
      <c r="BY75" s="141" t="e">
        <f t="shared" si="23"/>
        <v>#VALUE!</v>
      </c>
      <c r="BZ75" s="142"/>
      <c r="CA75" s="64"/>
    </row>
    <row r="76" spans="1:79" x14ac:dyDescent="0.25">
      <c r="A76" s="115">
        <f t="shared" ref="A76:A77" si="34">IF(C76="","",A75+1)</f>
        <v>26</v>
      </c>
      <c r="B76" s="153" t="s">
        <v>230</v>
      </c>
      <c r="C76" s="118" t="s">
        <v>292</v>
      </c>
      <c r="D76" s="118" t="s">
        <v>183</v>
      </c>
      <c r="E76" s="118" t="s">
        <v>179</v>
      </c>
      <c r="F76" s="118" t="s">
        <v>180</v>
      </c>
      <c r="G76" s="117" t="str">
        <f t="shared" si="0"/>
        <v>Hitek_Hitek_Buptle/Python</v>
      </c>
      <c r="H76" s="119"/>
      <c r="I76" s="144"/>
      <c r="J76" s="145">
        <v>71304000</v>
      </c>
      <c r="K76" s="122"/>
      <c r="L76" s="146">
        <v>71304000</v>
      </c>
      <c r="M76" s="147"/>
      <c r="N76" s="145">
        <v>45956522</v>
      </c>
      <c r="O76" s="124"/>
      <c r="P76" s="158">
        <v>45956522</v>
      </c>
      <c r="Q76" s="158">
        <v>25347478</v>
      </c>
      <c r="R76" s="159">
        <v>0.3555</v>
      </c>
      <c r="S76" s="158"/>
      <c r="T76" s="158"/>
      <c r="U76" s="158"/>
      <c r="V76" s="158">
        <v>0</v>
      </c>
      <c r="W76" s="158"/>
      <c r="X76" s="158"/>
      <c r="Y76" s="126"/>
      <c r="Z76" s="127">
        <v>0</v>
      </c>
      <c r="AA76" s="128">
        <v>0</v>
      </c>
      <c r="AB76" s="129">
        <f t="shared" si="22"/>
        <v>0</v>
      </c>
      <c r="AC76" s="130"/>
      <c r="AD76" s="131" t="str">
        <f t="shared" si="2"/>
        <v>Hitek_Buptle/Python</v>
      </c>
      <c r="AE76" s="132"/>
      <c r="AF76" s="132"/>
      <c r="AG76" s="136"/>
      <c r="AH76" s="135"/>
      <c r="AI76" s="135"/>
      <c r="AJ76" s="65"/>
      <c r="AK76" s="136"/>
      <c r="AL76" s="162"/>
      <c r="AM76" s="135"/>
      <c r="AN76" s="137"/>
      <c r="AO76" s="65"/>
      <c r="AP76" s="136"/>
      <c r="AQ76" s="136"/>
      <c r="AR76" s="135"/>
      <c r="AS76" s="137"/>
      <c r="AT76" s="65"/>
      <c r="AU76" s="136"/>
      <c r="AV76" s="136"/>
      <c r="AW76" s="135"/>
      <c r="AX76" s="68"/>
      <c r="AY76" s="65"/>
      <c r="AZ76" s="136"/>
      <c r="BA76" s="138"/>
      <c r="BB76" s="135"/>
      <c r="BC76" s="65"/>
      <c r="BD76" s="65"/>
      <c r="BE76" s="139"/>
      <c r="BF76" s="120"/>
      <c r="BG76" s="123"/>
      <c r="BH76" s="121"/>
      <c r="BI76" s="125"/>
      <c r="BJ76" s="139"/>
      <c r="BK76" s="125"/>
      <c r="BL76" s="140"/>
      <c r="BM76" s="125"/>
      <c r="BN76" s="125"/>
      <c r="BO76" s="139"/>
      <c r="BP76" s="125"/>
      <c r="BQ76" s="140"/>
      <c r="BR76" s="125"/>
      <c r="BS76" s="125"/>
      <c r="BT76" s="139"/>
      <c r="BU76" s="149"/>
      <c r="BV76" s="140"/>
      <c r="BW76" s="125"/>
      <c r="BX76" s="125"/>
      <c r="BY76" s="141" t="e">
        <f t="shared" si="23"/>
        <v>#VALUE!</v>
      </c>
      <c r="BZ76" s="142"/>
      <c r="CA76" s="64"/>
    </row>
    <row r="77" spans="1:79" x14ac:dyDescent="0.25">
      <c r="A77" s="115">
        <f t="shared" si="34"/>
        <v>27</v>
      </c>
      <c r="B77" s="116" t="s">
        <v>181</v>
      </c>
      <c r="C77" s="118" t="s">
        <v>293</v>
      </c>
      <c r="D77" s="118" t="s">
        <v>183</v>
      </c>
      <c r="E77" s="118" t="s">
        <v>179</v>
      </c>
      <c r="F77" s="118" t="s">
        <v>180</v>
      </c>
      <c r="G77" s="117" t="str">
        <f t="shared" si="0"/>
        <v>QSOFT_Prudential</v>
      </c>
      <c r="H77" s="119"/>
      <c r="I77" s="144"/>
      <c r="J77" s="145">
        <v>67905000</v>
      </c>
      <c r="K77" s="122"/>
      <c r="L77" s="146">
        <v>67905000</v>
      </c>
      <c r="M77" s="147"/>
      <c r="N77" s="145">
        <v>49310000</v>
      </c>
      <c r="O77" s="124"/>
      <c r="P77" s="125">
        <v>49310000</v>
      </c>
      <c r="Q77" s="125">
        <v>18595000</v>
      </c>
      <c r="R77" s="148">
        <v>0.2738</v>
      </c>
      <c r="S77" s="125"/>
      <c r="T77" s="125">
        <v>50549865</v>
      </c>
      <c r="U77" s="125"/>
      <c r="V77" s="125">
        <v>50549865</v>
      </c>
      <c r="W77" s="125"/>
      <c r="X77" s="125">
        <v>36446522</v>
      </c>
      <c r="Y77" s="126"/>
      <c r="Z77" s="127">
        <v>36446522</v>
      </c>
      <c r="AA77" s="128">
        <v>14103343</v>
      </c>
      <c r="AB77" s="129">
        <f t="shared" si="22"/>
        <v>14103343</v>
      </c>
      <c r="AC77" s="130"/>
      <c r="AD77" s="131" t="str">
        <f t="shared" si="2"/>
        <v>Prudential</v>
      </c>
      <c r="AE77" s="132"/>
      <c r="AF77" s="132"/>
      <c r="AG77" s="136"/>
      <c r="AH77" s="135"/>
      <c r="AI77" s="135"/>
      <c r="AJ77" s="65"/>
      <c r="AK77" s="136"/>
      <c r="AL77" s="162"/>
      <c r="AM77" s="135"/>
      <c r="AN77" s="137"/>
      <c r="AO77" s="65"/>
      <c r="AP77" s="136"/>
      <c r="AQ77" s="136"/>
      <c r="AR77" s="135"/>
      <c r="AS77" s="137"/>
      <c r="AT77" s="65"/>
      <c r="AU77" s="136"/>
      <c r="AV77" s="136"/>
      <c r="AW77" s="135"/>
      <c r="AX77" s="68"/>
      <c r="AY77" s="65"/>
      <c r="AZ77" s="136"/>
      <c r="BA77" s="138"/>
      <c r="BB77" s="135"/>
      <c r="BC77" s="65"/>
      <c r="BD77" s="65"/>
      <c r="BE77" s="139"/>
      <c r="BF77" s="120"/>
      <c r="BG77" s="123"/>
      <c r="BH77" s="121"/>
      <c r="BI77" s="125"/>
      <c r="BJ77" s="139"/>
      <c r="BK77" s="125"/>
      <c r="BL77" s="140"/>
      <c r="BM77" s="125"/>
      <c r="BN77" s="125"/>
      <c r="BO77" s="139"/>
      <c r="BP77" s="125"/>
      <c r="BQ77" s="140"/>
      <c r="BR77" s="125"/>
      <c r="BS77" s="125"/>
      <c r="BT77" s="139"/>
      <c r="BU77" s="149"/>
      <c r="BV77" s="140"/>
      <c r="BW77" s="125"/>
      <c r="BX77" s="125"/>
      <c r="BY77" s="141" t="e">
        <f t="shared" si="23"/>
        <v>#VALUE!</v>
      </c>
      <c r="BZ77" s="142"/>
      <c r="CA77" s="64"/>
    </row>
    <row r="78" spans="1:79" x14ac:dyDescent="0.25">
      <c r="A78" s="115">
        <v>26</v>
      </c>
      <c r="B78" s="116" t="s">
        <v>181</v>
      </c>
      <c r="C78" s="118" t="s">
        <v>294</v>
      </c>
      <c r="D78" s="118" t="s">
        <v>183</v>
      </c>
      <c r="E78" s="118" t="s">
        <v>179</v>
      </c>
      <c r="F78" s="118" t="s">
        <v>180</v>
      </c>
      <c r="G78" s="117" t="str">
        <f t="shared" si="0"/>
        <v>QSOFT_Pinnacle</v>
      </c>
      <c r="H78" s="119"/>
      <c r="I78" s="144"/>
      <c r="J78" s="145">
        <v>379650693</v>
      </c>
      <c r="K78" s="122"/>
      <c r="L78" s="146">
        <v>379650693</v>
      </c>
      <c r="M78" s="147"/>
      <c r="N78" s="145">
        <v>226831909</v>
      </c>
      <c r="O78" s="124"/>
      <c r="P78" s="125">
        <v>226831909</v>
      </c>
      <c r="Q78" s="125">
        <v>152818784</v>
      </c>
      <c r="R78" s="148">
        <v>0.4025</v>
      </c>
      <c r="S78" s="125"/>
      <c r="T78" s="125">
        <v>303299140</v>
      </c>
      <c r="U78" s="125"/>
      <c r="V78" s="125">
        <v>303299140</v>
      </c>
      <c r="W78" s="125"/>
      <c r="X78" s="125">
        <v>198257695</v>
      </c>
      <c r="Y78" s="126"/>
      <c r="Z78" s="127">
        <v>198257695</v>
      </c>
      <c r="AA78" s="128">
        <v>105041445</v>
      </c>
      <c r="AB78" s="129">
        <f t="shared" si="22"/>
        <v>105041445</v>
      </c>
      <c r="AC78" s="130"/>
      <c r="AD78" s="131" t="str">
        <f t="shared" si="2"/>
        <v>Pinnacle</v>
      </c>
      <c r="AE78" s="132"/>
      <c r="AF78" s="132"/>
      <c r="AG78" s="136"/>
      <c r="AH78" s="135"/>
      <c r="AI78" s="135"/>
      <c r="AJ78" s="65"/>
      <c r="AK78" s="136"/>
      <c r="AL78" s="162"/>
      <c r="AM78" s="135"/>
      <c r="AN78" s="137"/>
      <c r="AO78" s="65"/>
      <c r="AP78" s="136"/>
      <c r="AQ78" s="136"/>
      <c r="AR78" s="135"/>
      <c r="AS78" s="137"/>
      <c r="AT78" s="65"/>
      <c r="AU78" s="136"/>
      <c r="AV78" s="136"/>
      <c r="AW78" s="135"/>
      <c r="AX78" s="68"/>
      <c r="AY78" s="65"/>
      <c r="AZ78" s="136"/>
      <c r="BA78" s="138"/>
      <c r="BB78" s="135"/>
      <c r="BC78" s="65"/>
      <c r="BD78" s="65"/>
      <c r="BE78" s="139"/>
      <c r="BF78" s="120"/>
      <c r="BG78" s="123"/>
      <c r="BH78" s="121"/>
      <c r="BI78" s="125"/>
      <c r="BJ78" s="139"/>
      <c r="BK78" s="125"/>
      <c r="BL78" s="140"/>
      <c r="BM78" s="125"/>
      <c r="BN78" s="125"/>
      <c r="BO78" s="139"/>
      <c r="BP78" s="149"/>
      <c r="BQ78" s="140"/>
      <c r="BR78" s="125"/>
      <c r="BS78" s="125"/>
      <c r="BT78" s="139"/>
      <c r="BU78" s="149"/>
      <c r="BV78" s="140"/>
      <c r="BW78" s="125"/>
      <c r="BX78" s="125"/>
      <c r="BY78" s="141" t="e">
        <f t="shared" si="23"/>
        <v>#VALUE!</v>
      </c>
      <c r="BZ78" s="142"/>
      <c r="CA78" s="64"/>
    </row>
    <row r="79" spans="1:79" x14ac:dyDescent="0.25">
      <c r="A79" s="115">
        <f t="shared" ref="A79:A80" si="35">IF(C79="","",A78+1)</f>
        <v>27</v>
      </c>
      <c r="B79" s="153" t="s">
        <v>218</v>
      </c>
      <c r="C79" s="118" t="s">
        <v>295</v>
      </c>
      <c r="D79" s="118" t="s">
        <v>178</v>
      </c>
      <c r="E79" s="118" t="s">
        <v>179</v>
      </c>
      <c r="F79" s="118" t="s">
        <v>180</v>
      </c>
      <c r="G79" s="117" t="str">
        <f t="shared" si="0"/>
        <v>GTS_GTS_Python</v>
      </c>
      <c r="H79" s="119"/>
      <c r="I79" s="150"/>
      <c r="J79" s="145"/>
      <c r="K79" s="122"/>
      <c r="L79" s="146">
        <v>0</v>
      </c>
      <c r="M79" s="146"/>
      <c r="N79" s="145"/>
      <c r="O79" s="124">
        <v>0</v>
      </c>
      <c r="P79" s="125">
        <v>0</v>
      </c>
      <c r="Q79" s="125">
        <v>0</v>
      </c>
      <c r="R79" s="125"/>
      <c r="S79" s="125"/>
      <c r="T79" s="125"/>
      <c r="U79" s="125"/>
      <c r="V79" s="125">
        <v>0</v>
      </c>
      <c r="W79" s="125"/>
      <c r="X79" s="125"/>
      <c r="Y79" s="126"/>
      <c r="Z79" s="127">
        <v>0</v>
      </c>
      <c r="AA79" s="128">
        <v>0</v>
      </c>
      <c r="AB79" s="129">
        <f t="shared" si="22"/>
        <v>0</v>
      </c>
      <c r="AC79" s="130"/>
      <c r="AD79" s="131" t="str">
        <f t="shared" si="2"/>
        <v>GTS_Python</v>
      </c>
      <c r="AE79" s="132"/>
      <c r="AF79" s="132"/>
      <c r="AG79" s="136"/>
      <c r="AH79" s="135"/>
      <c r="AI79" s="135"/>
      <c r="AJ79" s="65"/>
      <c r="AK79" s="136"/>
      <c r="AL79" s="162"/>
      <c r="AM79" s="135"/>
      <c r="AN79" s="137"/>
      <c r="AO79" s="65"/>
      <c r="AP79" s="136"/>
      <c r="AQ79" s="136"/>
      <c r="AR79" s="135"/>
      <c r="AS79" s="137"/>
      <c r="AT79" s="65"/>
      <c r="AU79" s="136"/>
      <c r="AV79" s="136"/>
      <c r="AW79" s="135"/>
      <c r="AX79" s="68"/>
      <c r="AY79" s="65"/>
      <c r="AZ79" s="136"/>
      <c r="BA79" s="138"/>
      <c r="BB79" s="135"/>
      <c r="BC79" s="65"/>
      <c r="BD79" s="65"/>
      <c r="BE79" s="139"/>
      <c r="BF79" s="120"/>
      <c r="BG79" s="123"/>
      <c r="BH79" s="121"/>
      <c r="BI79" s="125"/>
      <c r="BJ79" s="139"/>
      <c r="BK79" s="125"/>
      <c r="BL79" s="140"/>
      <c r="BM79" s="125"/>
      <c r="BN79" s="125"/>
      <c r="BO79" s="139"/>
      <c r="BP79" s="149"/>
      <c r="BQ79" s="140"/>
      <c r="BR79" s="125"/>
      <c r="BS79" s="125"/>
      <c r="BT79" s="139"/>
      <c r="BU79" s="149"/>
      <c r="BV79" s="140"/>
      <c r="BW79" s="125"/>
      <c r="BX79" s="125"/>
      <c r="BY79" s="141"/>
      <c r="BZ79" s="142"/>
      <c r="CA79" s="64"/>
    </row>
    <row r="80" spans="1:79" x14ac:dyDescent="0.25">
      <c r="A80" s="115">
        <f t="shared" si="35"/>
        <v>28</v>
      </c>
      <c r="B80" s="153" t="s">
        <v>172</v>
      </c>
      <c r="C80" s="118" t="s">
        <v>296</v>
      </c>
      <c r="D80" s="118" t="s">
        <v>183</v>
      </c>
      <c r="E80" s="118"/>
      <c r="F80" s="118" t="s">
        <v>180</v>
      </c>
      <c r="G80" s="117" t="str">
        <f t="shared" si="0"/>
        <v>Inhouse_Training</v>
      </c>
      <c r="H80" s="119"/>
      <c r="I80" s="150"/>
      <c r="J80" s="145"/>
      <c r="K80" s="122"/>
      <c r="L80" s="146">
        <v>0</v>
      </c>
      <c r="M80" s="146"/>
      <c r="N80" s="145"/>
      <c r="O80" s="124">
        <v>0</v>
      </c>
      <c r="P80" s="125">
        <v>0</v>
      </c>
      <c r="Q80" s="125">
        <v>0</v>
      </c>
      <c r="R80" s="125"/>
      <c r="S80" s="125"/>
      <c r="T80" s="125"/>
      <c r="U80" s="125"/>
      <c r="V80" s="125">
        <v>0</v>
      </c>
      <c r="W80" s="125"/>
      <c r="X80" s="125"/>
      <c r="Y80" s="126"/>
      <c r="Z80" s="127">
        <v>0</v>
      </c>
      <c r="AA80" s="128">
        <v>0</v>
      </c>
      <c r="AB80" s="129">
        <f t="shared" si="22"/>
        <v>0</v>
      </c>
      <c r="AC80" s="130"/>
      <c r="AD80" s="131" t="str">
        <f t="shared" si="2"/>
        <v>Training</v>
      </c>
      <c r="AE80" s="132"/>
      <c r="AF80" s="132"/>
      <c r="AG80" s="136"/>
      <c r="AH80" s="135"/>
      <c r="AI80" s="135"/>
      <c r="AJ80" s="65"/>
      <c r="AK80" s="136"/>
      <c r="AL80" s="162"/>
      <c r="AM80" s="135"/>
      <c r="AN80" s="137"/>
      <c r="AO80" s="65"/>
      <c r="AP80" s="136"/>
      <c r="AQ80" s="136"/>
      <c r="AR80" s="135"/>
      <c r="AS80" s="137"/>
      <c r="AT80" s="65"/>
      <c r="AU80" s="136"/>
      <c r="AV80" s="136"/>
      <c r="AW80" s="135"/>
      <c r="AX80" s="68"/>
      <c r="AY80" s="65"/>
      <c r="AZ80" s="136"/>
      <c r="BA80" s="138"/>
      <c r="BB80" s="135"/>
      <c r="BC80" s="65"/>
      <c r="BD80" s="65"/>
      <c r="BE80" s="139"/>
      <c r="BF80" s="120"/>
      <c r="BG80" s="123"/>
      <c r="BH80" s="121"/>
      <c r="BI80" s="125"/>
      <c r="BJ80" s="139"/>
      <c r="BK80" s="125"/>
      <c r="BL80" s="140"/>
      <c r="BM80" s="125"/>
      <c r="BN80" s="125"/>
      <c r="BO80" s="139"/>
      <c r="BP80" s="149"/>
      <c r="BQ80" s="140"/>
      <c r="BR80" s="125"/>
      <c r="BS80" s="125"/>
      <c r="BT80" s="139"/>
      <c r="BU80" s="149"/>
      <c r="BV80" s="140"/>
      <c r="BW80" s="125"/>
      <c r="BX80" s="125"/>
      <c r="BY80" s="141"/>
      <c r="BZ80" s="142"/>
      <c r="CA80" s="64"/>
    </row>
    <row r="81" spans="1:79" x14ac:dyDescent="0.25">
      <c r="A81" s="115">
        <v>27</v>
      </c>
      <c r="B81" s="153" t="s">
        <v>297</v>
      </c>
      <c r="C81" s="118" t="s">
        <v>298</v>
      </c>
      <c r="D81" s="118" t="s">
        <v>178</v>
      </c>
      <c r="E81" s="118" t="s">
        <v>194</v>
      </c>
      <c r="F81" s="118" t="s">
        <v>191</v>
      </c>
      <c r="G81" s="117" t="str">
        <f t="shared" si="0"/>
        <v>ACCOMY_Hotel D-Hub</v>
      </c>
      <c r="H81" s="119"/>
      <c r="I81" s="150"/>
      <c r="J81" s="145"/>
      <c r="K81" s="122"/>
      <c r="L81" s="146">
        <v>0</v>
      </c>
      <c r="M81" s="146"/>
      <c r="N81" s="145"/>
      <c r="O81" s="124">
        <v>0</v>
      </c>
      <c r="P81" s="125">
        <v>0</v>
      </c>
      <c r="Q81" s="125">
        <v>0</v>
      </c>
      <c r="R81" s="125"/>
      <c r="S81" s="125"/>
      <c r="T81" s="125"/>
      <c r="U81" s="125">
        <v>104677892</v>
      </c>
      <c r="V81" s="125">
        <v>104677892</v>
      </c>
      <c r="W81" s="125">
        <v>0</v>
      </c>
      <c r="X81" s="125"/>
      <c r="Y81" s="126"/>
      <c r="Z81" s="127">
        <v>0</v>
      </c>
      <c r="AA81" s="128">
        <v>104677892</v>
      </c>
      <c r="AB81" s="129">
        <f t="shared" si="22"/>
        <v>104677892</v>
      </c>
      <c r="AC81" s="130"/>
      <c r="AD81" s="131" t="str">
        <f t="shared" si="2"/>
        <v>Hotel D-Hub</v>
      </c>
      <c r="AE81" s="132"/>
      <c r="AF81" s="132"/>
      <c r="AG81" s="136"/>
      <c r="AH81" s="135"/>
      <c r="AI81" s="135"/>
      <c r="AJ81" s="65"/>
      <c r="AK81" s="136"/>
      <c r="AL81" s="162"/>
      <c r="AM81" s="135"/>
      <c r="AN81" s="137"/>
      <c r="AO81" s="65"/>
      <c r="AP81" s="136"/>
      <c r="AQ81" s="136"/>
      <c r="AR81" s="135"/>
      <c r="AS81" s="137"/>
      <c r="AT81" s="65"/>
      <c r="AU81" s="136"/>
      <c r="AV81" s="136"/>
      <c r="AW81" s="135"/>
      <c r="AX81" s="68"/>
      <c r="AY81" s="65"/>
      <c r="AZ81" s="136"/>
      <c r="BA81" s="138"/>
      <c r="BB81" s="135"/>
      <c r="BC81" s="65"/>
      <c r="BD81" s="65"/>
      <c r="BE81" s="139"/>
      <c r="BF81" s="120"/>
      <c r="BG81" s="123"/>
      <c r="BH81" s="121"/>
      <c r="BI81" s="125"/>
      <c r="BJ81" s="139"/>
      <c r="BK81" s="125"/>
      <c r="BL81" s="140"/>
      <c r="BM81" s="125"/>
      <c r="BN81" s="125"/>
      <c r="BO81" s="139"/>
      <c r="BP81" s="149"/>
      <c r="BQ81" s="140"/>
      <c r="BR81" s="125"/>
      <c r="BS81" s="125"/>
      <c r="BT81" s="139"/>
      <c r="BU81" s="149"/>
      <c r="BV81" s="140"/>
      <c r="BW81" s="125"/>
      <c r="BX81" s="125"/>
      <c r="BY81" s="141"/>
      <c r="BZ81" s="142"/>
      <c r="CA81" s="64"/>
    </row>
    <row r="82" spans="1:79" x14ac:dyDescent="0.25">
      <c r="A82" s="115">
        <f t="shared" ref="A82:A83" si="36">IF(C82="","",A81+1)</f>
        <v>28</v>
      </c>
      <c r="B82" s="153" t="s">
        <v>244</v>
      </c>
      <c r="C82" s="118" t="s">
        <v>299</v>
      </c>
      <c r="D82" s="118" t="s">
        <v>178</v>
      </c>
      <c r="E82" s="118" t="s">
        <v>194</v>
      </c>
      <c r="F82" s="118" t="s">
        <v>180</v>
      </c>
      <c r="G82" s="117" t="str">
        <f t="shared" si="0"/>
        <v>Femi_Certus</v>
      </c>
      <c r="H82" s="119"/>
      <c r="I82" s="150"/>
      <c r="J82" s="145"/>
      <c r="K82" s="122"/>
      <c r="L82" s="146">
        <v>0</v>
      </c>
      <c r="M82" s="146"/>
      <c r="N82" s="145"/>
      <c r="O82" s="124">
        <v>110008763</v>
      </c>
      <c r="P82" s="125">
        <v>110008763</v>
      </c>
      <c r="Q82" s="125">
        <v>-110008763</v>
      </c>
      <c r="R82" s="125"/>
      <c r="S82" s="125"/>
      <c r="T82" s="125"/>
      <c r="U82" s="125"/>
      <c r="V82" s="125">
        <v>0</v>
      </c>
      <c r="W82" s="125"/>
      <c r="X82" s="125"/>
      <c r="Y82" s="126"/>
      <c r="Z82" s="127">
        <v>0</v>
      </c>
      <c r="AA82" s="128">
        <v>0</v>
      </c>
      <c r="AB82" s="129">
        <f t="shared" si="22"/>
        <v>0</v>
      </c>
      <c r="AC82" s="130"/>
      <c r="AD82" s="131" t="str">
        <f t="shared" si="2"/>
        <v>Certus</v>
      </c>
      <c r="AE82" s="132"/>
      <c r="AF82" s="132"/>
      <c r="AG82" s="136"/>
      <c r="AH82" s="135"/>
      <c r="AI82" s="135"/>
      <c r="AJ82" s="65"/>
      <c r="AK82" s="136"/>
      <c r="AL82" s="162"/>
      <c r="AM82" s="135"/>
      <c r="AN82" s="137"/>
      <c r="AO82" s="65"/>
      <c r="AP82" s="136"/>
      <c r="AQ82" s="136"/>
      <c r="AR82" s="135"/>
      <c r="AS82" s="137"/>
      <c r="AT82" s="65"/>
      <c r="AU82" s="136"/>
      <c r="AV82" s="136"/>
      <c r="AW82" s="135"/>
      <c r="AX82" s="68"/>
      <c r="AY82" s="65"/>
      <c r="AZ82" s="136"/>
      <c r="BA82" s="138"/>
      <c r="BB82" s="135"/>
      <c r="BC82" s="65"/>
      <c r="BD82" s="65"/>
      <c r="BE82" s="139"/>
      <c r="BF82" s="120"/>
      <c r="BG82" s="123"/>
      <c r="BH82" s="121"/>
      <c r="BI82" s="125"/>
      <c r="BJ82" s="139"/>
      <c r="BK82" s="125"/>
      <c r="BL82" s="140"/>
      <c r="BM82" s="125"/>
      <c r="BN82" s="125"/>
      <c r="BO82" s="139"/>
      <c r="BP82" s="149"/>
      <c r="BQ82" s="140"/>
      <c r="BR82" s="125"/>
      <c r="BS82" s="125"/>
      <c r="BT82" s="139"/>
      <c r="BU82" s="149"/>
      <c r="BV82" s="140"/>
      <c r="BW82" s="125"/>
      <c r="BX82" s="125"/>
      <c r="BY82" s="141"/>
      <c r="BZ82" s="142"/>
      <c r="CA82" s="64"/>
    </row>
    <row r="83" spans="1:79" x14ac:dyDescent="0.25">
      <c r="A83" s="115">
        <f t="shared" si="36"/>
        <v>29</v>
      </c>
      <c r="B83" s="153" t="s">
        <v>273</v>
      </c>
      <c r="C83" s="118" t="s">
        <v>300</v>
      </c>
      <c r="D83" s="118" t="s">
        <v>178</v>
      </c>
      <c r="E83" s="118" t="s">
        <v>194</v>
      </c>
      <c r="F83" s="118" t="s">
        <v>191</v>
      </c>
      <c r="G83" s="117" t="str">
        <f t="shared" si="0"/>
        <v>Anis Carmats_Cartints</v>
      </c>
      <c r="H83" s="119"/>
      <c r="I83" s="150"/>
      <c r="J83" s="145"/>
      <c r="K83" s="122"/>
      <c r="L83" s="146">
        <v>0</v>
      </c>
      <c r="M83" s="146"/>
      <c r="N83" s="145"/>
      <c r="O83" s="124">
        <v>0</v>
      </c>
      <c r="P83" s="125">
        <v>0</v>
      </c>
      <c r="Q83" s="125">
        <v>0</v>
      </c>
      <c r="R83" s="125"/>
      <c r="S83" s="125"/>
      <c r="T83" s="125"/>
      <c r="U83" s="125"/>
      <c r="V83" s="125">
        <v>0</v>
      </c>
      <c r="W83" s="125"/>
      <c r="X83" s="125"/>
      <c r="Y83" s="126"/>
      <c r="Z83" s="127">
        <v>0</v>
      </c>
      <c r="AA83" s="128">
        <v>0</v>
      </c>
      <c r="AB83" s="129">
        <f t="shared" si="22"/>
        <v>0</v>
      </c>
      <c r="AC83" s="130"/>
      <c r="AD83" s="131" t="str">
        <f t="shared" si="2"/>
        <v>Cartints</v>
      </c>
      <c r="AE83" s="132"/>
      <c r="AF83" s="132"/>
      <c r="AG83" s="136"/>
      <c r="AH83" s="135"/>
      <c r="AI83" s="135"/>
      <c r="AJ83" s="65"/>
      <c r="AK83" s="136"/>
      <c r="AL83" s="162"/>
      <c r="AM83" s="135"/>
      <c r="AN83" s="137"/>
      <c r="AO83" s="65"/>
      <c r="AP83" s="136"/>
      <c r="AQ83" s="136"/>
      <c r="AR83" s="135"/>
      <c r="AS83" s="137"/>
      <c r="AT83" s="65"/>
      <c r="AU83" s="136"/>
      <c r="AV83" s="136"/>
      <c r="AW83" s="135"/>
      <c r="AX83" s="68"/>
      <c r="AY83" s="65"/>
      <c r="AZ83" s="136"/>
      <c r="BA83" s="138"/>
      <c r="BB83" s="135"/>
      <c r="BC83" s="65"/>
      <c r="BD83" s="65"/>
      <c r="BE83" s="139"/>
      <c r="BF83" s="120"/>
      <c r="BG83" s="123"/>
      <c r="BH83" s="121"/>
      <c r="BI83" s="125"/>
      <c r="BJ83" s="139"/>
      <c r="BK83" s="125"/>
      <c r="BL83" s="140"/>
      <c r="BM83" s="125"/>
      <c r="BN83" s="125"/>
      <c r="BO83" s="139"/>
      <c r="BP83" s="149"/>
      <c r="BQ83" s="140"/>
      <c r="BR83" s="125"/>
      <c r="BS83" s="125"/>
      <c r="BT83" s="139"/>
      <c r="BU83" s="149"/>
      <c r="BV83" s="140"/>
      <c r="BW83" s="125"/>
      <c r="BX83" s="125"/>
      <c r="BY83" s="141"/>
      <c r="BZ83" s="142"/>
      <c r="CA83" s="64"/>
    </row>
    <row r="84" spans="1:79" x14ac:dyDescent="0.25">
      <c r="A84" s="115">
        <v>28</v>
      </c>
      <c r="B84" s="153" t="s">
        <v>301</v>
      </c>
      <c r="C84" s="118" t="s">
        <v>302</v>
      </c>
      <c r="D84" s="118" t="s">
        <v>178</v>
      </c>
      <c r="E84" s="118" t="s">
        <v>194</v>
      </c>
      <c r="F84" s="118" t="s">
        <v>191</v>
      </c>
      <c r="G84" s="117" t="str">
        <f t="shared" si="0"/>
        <v>Max_Tonuki</v>
      </c>
      <c r="H84" s="119"/>
      <c r="I84" s="150"/>
      <c r="J84" s="167"/>
      <c r="K84" s="122"/>
      <c r="L84" s="146">
        <v>0</v>
      </c>
      <c r="M84" s="146"/>
      <c r="N84" s="145"/>
      <c r="O84" s="124">
        <v>0</v>
      </c>
      <c r="P84" s="158">
        <v>0</v>
      </c>
      <c r="Q84" s="158">
        <v>0</v>
      </c>
      <c r="R84" s="158"/>
      <c r="S84" s="158"/>
      <c r="T84" s="158"/>
      <c r="U84" s="158"/>
      <c r="V84" s="158">
        <v>0</v>
      </c>
      <c r="W84" s="158"/>
      <c r="X84" s="158"/>
      <c r="Y84" s="126"/>
      <c r="Z84" s="127">
        <v>0</v>
      </c>
      <c r="AA84" s="128">
        <v>0</v>
      </c>
      <c r="AB84" s="129">
        <f t="shared" si="22"/>
        <v>0</v>
      </c>
      <c r="AC84" s="130"/>
      <c r="AD84" s="131" t="str">
        <f t="shared" si="2"/>
        <v>Tonuki</v>
      </c>
      <c r="AE84" s="132"/>
      <c r="AF84" s="132"/>
      <c r="AG84" s="136"/>
      <c r="AH84" s="135"/>
      <c r="AI84" s="135"/>
      <c r="AJ84" s="65"/>
      <c r="AK84" s="136"/>
      <c r="AL84" s="162"/>
      <c r="AM84" s="135"/>
      <c r="AN84" s="137"/>
      <c r="AO84" s="65"/>
      <c r="AP84" s="136"/>
      <c r="AQ84" s="136"/>
      <c r="AR84" s="135"/>
      <c r="AS84" s="137"/>
      <c r="AT84" s="65"/>
      <c r="AU84" s="136"/>
      <c r="AV84" s="136"/>
      <c r="AW84" s="135"/>
      <c r="AX84" s="68"/>
      <c r="AY84" s="65"/>
      <c r="AZ84" s="136"/>
      <c r="BA84" s="138"/>
      <c r="BB84" s="135"/>
      <c r="BC84" s="65"/>
      <c r="BD84" s="65"/>
      <c r="BE84" s="139"/>
      <c r="BF84" s="120"/>
      <c r="BG84" s="123"/>
      <c r="BH84" s="121"/>
      <c r="BI84" s="125"/>
      <c r="BJ84" s="139"/>
      <c r="BK84" s="125"/>
      <c r="BL84" s="140"/>
      <c r="BM84" s="125"/>
      <c r="BN84" s="125"/>
      <c r="BO84" s="139"/>
      <c r="BP84" s="149"/>
      <c r="BQ84" s="140"/>
      <c r="BR84" s="125"/>
      <c r="BS84" s="125"/>
      <c r="BT84" s="139"/>
      <c r="BU84" s="149"/>
      <c r="BV84" s="140"/>
      <c r="BW84" s="125"/>
      <c r="BX84" s="125"/>
      <c r="BY84" s="141"/>
      <c r="BZ84" s="142"/>
      <c r="CA84" s="64"/>
    </row>
    <row r="85" spans="1:79" x14ac:dyDescent="0.25">
      <c r="A85" s="115">
        <f t="shared" ref="A85:A86" si="37">IF(C85="","",A84+1)</f>
        <v>29</v>
      </c>
      <c r="B85" s="153" t="s">
        <v>303</v>
      </c>
      <c r="C85" s="118" t="s">
        <v>303</v>
      </c>
      <c r="D85" s="118" t="s">
        <v>178</v>
      </c>
      <c r="E85" s="118" t="s">
        <v>194</v>
      </c>
      <c r="F85" s="118" t="s">
        <v>191</v>
      </c>
      <c r="G85" s="117" t="str">
        <f t="shared" si="0"/>
        <v>Honeypot_Honeypot</v>
      </c>
      <c r="H85" s="119"/>
      <c r="I85" s="150"/>
      <c r="J85" s="145"/>
      <c r="K85" s="122"/>
      <c r="L85" s="146">
        <v>0</v>
      </c>
      <c r="M85" s="146"/>
      <c r="N85" s="145"/>
      <c r="O85" s="124">
        <v>0</v>
      </c>
      <c r="P85" s="125">
        <v>0</v>
      </c>
      <c r="Q85" s="125">
        <v>0</v>
      </c>
      <c r="R85" s="125"/>
      <c r="S85" s="125"/>
      <c r="T85" s="125"/>
      <c r="U85" s="125"/>
      <c r="V85" s="125">
        <v>0</v>
      </c>
      <c r="W85" s="125"/>
      <c r="X85" s="125"/>
      <c r="Y85" s="126"/>
      <c r="Z85" s="127">
        <v>0</v>
      </c>
      <c r="AA85" s="128">
        <v>0</v>
      </c>
      <c r="AB85" s="129">
        <f t="shared" si="22"/>
        <v>0</v>
      </c>
      <c r="AC85" s="130"/>
      <c r="AD85" s="131" t="str">
        <f t="shared" si="2"/>
        <v>Honeypot</v>
      </c>
      <c r="AE85" s="132"/>
      <c r="AF85" s="132"/>
      <c r="AG85" s="136"/>
      <c r="AH85" s="135"/>
      <c r="AI85" s="135"/>
      <c r="AJ85" s="65"/>
      <c r="AK85" s="136"/>
      <c r="AL85" s="162"/>
      <c r="AM85" s="135"/>
      <c r="AN85" s="137"/>
      <c r="AO85" s="65"/>
      <c r="AP85" s="136"/>
      <c r="AQ85" s="136"/>
      <c r="AR85" s="135"/>
      <c r="AS85" s="137"/>
      <c r="AT85" s="65"/>
      <c r="AU85" s="136"/>
      <c r="AV85" s="136"/>
      <c r="AW85" s="135"/>
      <c r="AX85" s="68"/>
      <c r="AY85" s="65"/>
      <c r="AZ85" s="136"/>
      <c r="BA85" s="138"/>
      <c r="BB85" s="135"/>
      <c r="BC85" s="65"/>
      <c r="BD85" s="65"/>
      <c r="BE85" s="139"/>
      <c r="BF85" s="120"/>
      <c r="BG85" s="123"/>
      <c r="BH85" s="121"/>
      <c r="BI85" s="125"/>
      <c r="BJ85" s="139"/>
      <c r="BK85" s="125"/>
      <c r="BL85" s="140"/>
      <c r="BM85" s="125"/>
      <c r="BN85" s="125"/>
      <c r="BO85" s="139"/>
      <c r="BP85" s="149"/>
      <c r="BQ85" s="140"/>
      <c r="BR85" s="125"/>
      <c r="BS85" s="125"/>
      <c r="BT85" s="139"/>
      <c r="BU85" s="149"/>
      <c r="BV85" s="140"/>
      <c r="BW85" s="125"/>
      <c r="BX85" s="125"/>
      <c r="BY85" s="141"/>
      <c r="BZ85" s="142"/>
      <c r="CA85" s="64"/>
    </row>
    <row r="86" spans="1:79" x14ac:dyDescent="0.25">
      <c r="A86" s="115">
        <f t="shared" si="37"/>
        <v>30</v>
      </c>
      <c r="B86" s="153" t="s">
        <v>304</v>
      </c>
      <c r="C86" s="118" t="s">
        <v>305</v>
      </c>
      <c r="D86" s="118" t="s">
        <v>178</v>
      </c>
      <c r="E86" s="118" t="s">
        <v>194</v>
      </c>
      <c r="F86" s="118" t="s">
        <v>191</v>
      </c>
      <c r="G86" s="117" t="str">
        <f t="shared" si="0"/>
        <v>Erik_Taiboku-volume bot</v>
      </c>
      <c r="H86" s="119"/>
      <c r="I86" s="150"/>
      <c r="J86" s="145"/>
      <c r="K86" s="122"/>
      <c r="L86" s="146">
        <v>0</v>
      </c>
      <c r="M86" s="146"/>
      <c r="N86" s="145"/>
      <c r="O86" s="124">
        <v>0</v>
      </c>
      <c r="P86" s="125">
        <v>0</v>
      </c>
      <c r="Q86" s="125">
        <v>0</v>
      </c>
      <c r="R86" s="125"/>
      <c r="S86" s="125"/>
      <c r="T86" s="125"/>
      <c r="U86" s="125"/>
      <c r="V86" s="125">
        <v>0</v>
      </c>
      <c r="W86" s="125"/>
      <c r="X86" s="125"/>
      <c r="Y86" s="126"/>
      <c r="Z86" s="127">
        <v>0</v>
      </c>
      <c r="AA86" s="128">
        <v>0</v>
      </c>
      <c r="AB86" s="129">
        <f t="shared" si="22"/>
        <v>0</v>
      </c>
      <c r="AC86" s="130"/>
      <c r="AD86" s="131" t="str">
        <f t="shared" si="2"/>
        <v>Taiboku-volume bot</v>
      </c>
      <c r="AE86" s="132"/>
      <c r="AF86" s="132"/>
      <c r="AG86" s="136"/>
      <c r="AH86" s="135"/>
      <c r="AI86" s="135"/>
      <c r="AJ86" s="65"/>
      <c r="AK86" s="136"/>
      <c r="AL86" s="162"/>
      <c r="AM86" s="135"/>
      <c r="AN86" s="137"/>
      <c r="AO86" s="65"/>
      <c r="AP86" s="136"/>
      <c r="AQ86" s="136"/>
      <c r="AR86" s="135"/>
      <c r="AS86" s="137"/>
      <c r="AT86" s="65"/>
      <c r="AU86" s="136"/>
      <c r="AV86" s="136"/>
      <c r="AW86" s="135"/>
      <c r="AX86" s="68"/>
      <c r="AY86" s="65"/>
      <c r="AZ86" s="136"/>
      <c r="BA86" s="138"/>
      <c r="BB86" s="135"/>
      <c r="BC86" s="65"/>
      <c r="BD86" s="65"/>
      <c r="BE86" s="139"/>
      <c r="BF86" s="120"/>
      <c r="BG86" s="123"/>
      <c r="BH86" s="121"/>
      <c r="BI86" s="125"/>
      <c r="BJ86" s="139"/>
      <c r="BK86" s="125"/>
      <c r="BL86" s="140"/>
      <c r="BM86" s="125"/>
      <c r="BN86" s="125"/>
      <c r="BO86" s="139"/>
      <c r="BP86" s="149"/>
      <c r="BQ86" s="140"/>
      <c r="BR86" s="125"/>
      <c r="BS86" s="125"/>
      <c r="BT86" s="139"/>
      <c r="BU86" s="149"/>
      <c r="BV86" s="140"/>
      <c r="BW86" s="125"/>
      <c r="BX86" s="125"/>
      <c r="BY86" s="141"/>
      <c r="BZ86" s="142"/>
      <c r="CA86" s="64"/>
    </row>
    <row r="87" spans="1:79" x14ac:dyDescent="0.25">
      <c r="A87" s="115">
        <v>29</v>
      </c>
      <c r="B87" s="153" t="s">
        <v>304</v>
      </c>
      <c r="C87" s="118" t="s">
        <v>306</v>
      </c>
      <c r="D87" s="118" t="s">
        <v>178</v>
      </c>
      <c r="E87" s="118" t="s">
        <v>194</v>
      </c>
      <c r="F87" s="118" t="s">
        <v>191</v>
      </c>
      <c r="G87" s="117" t="str">
        <f t="shared" si="0"/>
        <v>Erik_EVM Volume Botm</v>
      </c>
      <c r="H87" s="119"/>
      <c r="I87" s="150"/>
      <c r="J87" s="145"/>
      <c r="K87" s="122"/>
      <c r="L87" s="146">
        <v>0</v>
      </c>
      <c r="M87" s="146"/>
      <c r="N87" s="145"/>
      <c r="O87" s="124">
        <v>0</v>
      </c>
      <c r="P87" s="125">
        <v>0</v>
      </c>
      <c r="Q87" s="125">
        <v>0</v>
      </c>
      <c r="R87" s="125"/>
      <c r="S87" s="125"/>
      <c r="T87" s="125"/>
      <c r="U87" s="125"/>
      <c r="V87" s="125">
        <v>0</v>
      </c>
      <c r="W87" s="125"/>
      <c r="X87" s="125"/>
      <c r="Y87" s="126"/>
      <c r="Z87" s="127">
        <v>0</v>
      </c>
      <c r="AA87" s="128">
        <v>0</v>
      </c>
      <c r="AB87" s="129">
        <f t="shared" si="22"/>
        <v>0</v>
      </c>
      <c r="AC87" s="130"/>
      <c r="AD87" s="131" t="str">
        <f t="shared" si="2"/>
        <v>EVM Volume Botm</v>
      </c>
      <c r="AE87" s="132"/>
      <c r="AF87" s="132"/>
      <c r="AG87" s="136"/>
      <c r="AH87" s="135"/>
      <c r="AI87" s="135"/>
      <c r="AJ87" s="65"/>
      <c r="AK87" s="136"/>
      <c r="AL87" s="162"/>
      <c r="AM87" s="135"/>
      <c r="AN87" s="137"/>
      <c r="AO87" s="65"/>
      <c r="AP87" s="136"/>
      <c r="AQ87" s="136"/>
      <c r="AR87" s="135"/>
      <c r="AS87" s="137"/>
      <c r="AT87" s="65"/>
      <c r="AU87" s="136"/>
      <c r="AV87" s="136"/>
      <c r="AW87" s="135"/>
      <c r="AX87" s="68"/>
      <c r="AY87" s="65"/>
      <c r="AZ87" s="136"/>
      <c r="BA87" s="138"/>
      <c r="BB87" s="135"/>
      <c r="BC87" s="65"/>
      <c r="BD87" s="65"/>
      <c r="BE87" s="139"/>
      <c r="BF87" s="120"/>
      <c r="BG87" s="123"/>
      <c r="BH87" s="121"/>
      <c r="BI87" s="125"/>
      <c r="BJ87" s="139"/>
      <c r="BK87" s="125"/>
      <c r="BL87" s="140"/>
      <c r="BM87" s="125"/>
      <c r="BN87" s="125"/>
      <c r="BO87" s="139"/>
      <c r="BP87" s="149"/>
      <c r="BQ87" s="140"/>
      <c r="BR87" s="125"/>
      <c r="BS87" s="125"/>
      <c r="BT87" s="139"/>
      <c r="BU87" s="149"/>
      <c r="BV87" s="140"/>
      <c r="BW87" s="125"/>
      <c r="BX87" s="125"/>
      <c r="BY87" s="141"/>
      <c r="BZ87" s="142"/>
      <c r="CA87" s="64"/>
    </row>
    <row r="88" spans="1:79" x14ac:dyDescent="0.25">
      <c r="A88" s="115">
        <f t="shared" ref="A88:A89" si="38">IF(C88="","",A87+1)</f>
        <v>30</v>
      </c>
      <c r="B88" s="153" t="s">
        <v>307</v>
      </c>
      <c r="C88" s="118" t="s">
        <v>308</v>
      </c>
      <c r="D88" s="118" t="s">
        <v>183</v>
      </c>
      <c r="E88" s="118" t="s">
        <v>194</v>
      </c>
      <c r="F88" s="118" t="s">
        <v>180</v>
      </c>
      <c r="G88" s="117" t="str">
        <f t="shared" si="0"/>
        <v>Kelly Vui_Kelly Website</v>
      </c>
      <c r="H88" s="119"/>
      <c r="I88" s="150"/>
      <c r="J88" s="145"/>
      <c r="K88" s="122"/>
      <c r="L88" s="146">
        <v>0</v>
      </c>
      <c r="M88" s="146"/>
      <c r="N88" s="145"/>
      <c r="O88" s="124">
        <v>0</v>
      </c>
      <c r="P88" s="125">
        <v>0</v>
      </c>
      <c r="Q88" s="125">
        <v>0</v>
      </c>
      <c r="R88" s="125"/>
      <c r="S88" s="125"/>
      <c r="T88" s="125"/>
      <c r="U88" s="125"/>
      <c r="V88" s="125">
        <v>0</v>
      </c>
      <c r="W88" s="125"/>
      <c r="X88" s="125"/>
      <c r="Y88" s="126"/>
      <c r="Z88" s="127">
        <v>0</v>
      </c>
      <c r="AA88" s="128">
        <v>0</v>
      </c>
      <c r="AB88" s="129">
        <f t="shared" si="22"/>
        <v>0</v>
      </c>
      <c r="AC88" s="130"/>
      <c r="AD88" s="131" t="str">
        <f t="shared" si="2"/>
        <v>Kelly Website</v>
      </c>
      <c r="AE88" s="132"/>
      <c r="AF88" s="132"/>
      <c r="AG88" s="136"/>
      <c r="AH88" s="135"/>
      <c r="AI88" s="135"/>
      <c r="AJ88" s="65"/>
      <c r="AK88" s="136"/>
      <c r="AL88" s="162"/>
      <c r="AM88" s="135"/>
      <c r="AN88" s="137"/>
      <c r="AO88" s="65"/>
      <c r="AP88" s="136"/>
      <c r="AQ88" s="136"/>
      <c r="AR88" s="135"/>
      <c r="AS88" s="137"/>
      <c r="AT88" s="65"/>
      <c r="AU88" s="136"/>
      <c r="AV88" s="136"/>
      <c r="AW88" s="135"/>
      <c r="AX88" s="68"/>
      <c r="AY88" s="65"/>
      <c r="AZ88" s="136"/>
      <c r="BA88" s="138"/>
      <c r="BB88" s="135"/>
      <c r="BC88" s="65"/>
      <c r="BD88" s="65"/>
      <c r="BE88" s="139"/>
      <c r="BF88" s="120"/>
      <c r="BG88" s="123"/>
      <c r="BH88" s="121"/>
      <c r="BI88" s="125"/>
      <c r="BJ88" s="139"/>
      <c r="BK88" s="125"/>
      <c r="BL88" s="140"/>
      <c r="BM88" s="125"/>
      <c r="BN88" s="125"/>
      <c r="BO88" s="139"/>
      <c r="BP88" s="149"/>
      <c r="BQ88" s="140"/>
      <c r="BR88" s="125"/>
      <c r="BS88" s="125"/>
      <c r="BT88" s="139"/>
      <c r="BU88" s="149"/>
      <c r="BV88" s="140"/>
      <c r="BW88" s="125"/>
      <c r="BX88" s="125"/>
      <c r="BY88" s="141"/>
      <c r="BZ88" s="142"/>
      <c r="CA88" s="64"/>
    </row>
    <row r="89" spans="1:79" x14ac:dyDescent="0.25">
      <c r="A89" s="115">
        <f t="shared" si="38"/>
        <v>31</v>
      </c>
      <c r="B89" s="153" t="s">
        <v>172</v>
      </c>
      <c r="C89" s="118" t="s">
        <v>309</v>
      </c>
      <c r="D89" s="118" t="s">
        <v>183</v>
      </c>
      <c r="E89" s="118"/>
      <c r="F89" s="118" t="s">
        <v>180</v>
      </c>
      <c r="G89" s="117" t="str">
        <f t="shared" si="0"/>
        <v>Inhouse_Self-learning</v>
      </c>
      <c r="H89" s="119"/>
      <c r="I89" s="150"/>
      <c r="J89" s="145"/>
      <c r="K89" s="122"/>
      <c r="L89" s="146">
        <v>0</v>
      </c>
      <c r="M89" s="146"/>
      <c r="N89" s="145"/>
      <c r="O89" s="124">
        <v>30326336</v>
      </c>
      <c r="P89" s="125">
        <v>30326336</v>
      </c>
      <c r="Q89" s="125">
        <v>-30326336</v>
      </c>
      <c r="R89" s="125"/>
      <c r="S89" s="125"/>
      <c r="T89" s="125"/>
      <c r="U89" s="125"/>
      <c r="V89" s="125">
        <v>0</v>
      </c>
      <c r="W89" s="125"/>
      <c r="X89" s="125"/>
      <c r="Y89" s="126"/>
      <c r="Z89" s="127">
        <v>0</v>
      </c>
      <c r="AA89" s="128">
        <v>0</v>
      </c>
      <c r="AB89" s="129">
        <f t="shared" si="22"/>
        <v>0</v>
      </c>
      <c r="AC89" s="130"/>
      <c r="AD89" s="131" t="str">
        <f t="shared" si="2"/>
        <v>Self-learning</v>
      </c>
      <c r="AE89" s="132"/>
      <c r="AF89" s="132"/>
      <c r="AG89" s="136"/>
      <c r="AH89" s="135"/>
      <c r="AI89" s="135"/>
      <c r="AJ89" s="65"/>
      <c r="AK89" s="136"/>
      <c r="AL89" s="162"/>
      <c r="AM89" s="135"/>
      <c r="AN89" s="137"/>
      <c r="AO89" s="65"/>
      <c r="AP89" s="136"/>
      <c r="AQ89" s="136"/>
      <c r="AR89" s="135"/>
      <c r="AS89" s="137"/>
      <c r="AT89" s="65"/>
      <c r="AU89" s="136"/>
      <c r="AV89" s="136"/>
      <c r="AW89" s="135"/>
      <c r="AX89" s="68"/>
      <c r="AY89" s="65"/>
      <c r="AZ89" s="136"/>
      <c r="BA89" s="138"/>
      <c r="BB89" s="135"/>
      <c r="BC89" s="65"/>
      <c r="BD89" s="65"/>
      <c r="BE89" s="139"/>
      <c r="BF89" s="120"/>
      <c r="BG89" s="123"/>
      <c r="BH89" s="121"/>
      <c r="BI89" s="125"/>
      <c r="BJ89" s="139"/>
      <c r="BK89" s="125"/>
      <c r="BL89" s="140"/>
      <c r="BM89" s="125"/>
      <c r="BN89" s="125"/>
      <c r="BO89" s="139"/>
      <c r="BP89" s="149"/>
      <c r="BQ89" s="140"/>
      <c r="BR89" s="125"/>
      <c r="BS89" s="125"/>
      <c r="BT89" s="139"/>
      <c r="BU89" s="149"/>
      <c r="BV89" s="140"/>
      <c r="BW89" s="125"/>
      <c r="BX89" s="125"/>
      <c r="BY89" s="141"/>
      <c r="BZ89" s="142"/>
      <c r="CA89" s="64"/>
    </row>
    <row r="90" spans="1:79" x14ac:dyDescent="0.25">
      <c r="A90" s="115">
        <v>30</v>
      </c>
      <c r="B90" s="153" t="s">
        <v>172</v>
      </c>
      <c r="C90" s="118" t="s">
        <v>310</v>
      </c>
      <c r="D90" s="118" t="s">
        <v>183</v>
      </c>
      <c r="E90" s="118" t="s">
        <v>194</v>
      </c>
      <c r="F90" s="118" t="s">
        <v>191</v>
      </c>
      <c r="G90" s="117" t="str">
        <f t="shared" si="0"/>
        <v>Inhouse_King Meme</v>
      </c>
      <c r="H90" s="119"/>
      <c r="I90" s="150"/>
      <c r="J90" s="145"/>
      <c r="K90" s="122"/>
      <c r="L90" s="146">
        <v>0</v>
      </c>
      <c r="M90" s="146"/>
      <c r="N90" s="145"/>
      <c r="O90" s="124">
        <v>54197073</v>
      </c>
      <c r="P90" s="125">
        <v>54197073</v>
      </c>
      <c r="Q90" s="125">
        <v>-54197073</v>
      </c>
      <c r="R90" s="125"/>
      <c r="S90" s="125"/>
      <c r="T90" s="125"/>
      <c r="U90" s="125"/>
      <c r="V90" s="125">
        <v>0</v>
      </c>
      <c r="W90" s="125"/>
      <c r="X90" s="125"/>
      <c r="Y90" s="126"/>
      <c r="Z90" s="127">
        <v>0</v>
      </c>
      <c r="AA90" s="128">
        <v>0</v>
      </c>
      <c r="AB90" s="129">
        <f t="shared" si="22"/>
        <v>0</v>
      </c>
      <c r="AC90" s="130"/>
      <c r="AD90" s="131" t="str">
        <f t="shared" si="2"/>
        <v>King Meme</v>
      </c>
      <c r="AE90" s="132"/>
      <c r="AF90" s="132"/>
      <c r="AG90" s="136"/>
      <c r="AH90" s="135"/>
      <c r="AI90" s="135"/>
      <c r="AJ90" s="65"/>
      <c r="AK90" s="136"/>
      <c r="AL90" s="162"/>
      <c r="AM90" s="135"/>
      <c r="AN90" s="137"/>
      <c r="AO90" s="65"/>
      <c r="AP90" s="136"/>
      <c r="AQ90" s="136"/>
      <c r="AR90" s="135"/>
      <c r="AS90" s="137"/>
      <c r="AT90" s="65"/>
      <c r="AU90" s="136"/>
      <c r="AV90" s="136"/>
      <c r="AW90" s="135"/>
      <c r="AX90" s="68"/>
      <c r="AY90" s="65"/>
      <c r="AZ90" s="136"/>
      <c r="BA90" s="138"/>
      <c r="BB90" s="135"/>
      <c r="BC90" s="65"/>
      <c r="BD90" s="65"/>
      <c r="BE90" s="139"/>
      <c r="BF90" s="120"/>
      <c r="BG90" s="123"/>
      <c r="BH90" s="121"/>
      <c r="BI90" s="125"/>
      <c r="BJ90" s="139"/>
      <c r="BK90" s="125"/>
      <c r="BL90" s="140"/>
      <c r="BM90" s="125"/>
      <c r="BN90" s="125"/>
      <c r="BO90" s="139"/>
      <c r="BP90" s="149"/>
      <c r="BQ90" s="140"/>
      <c r="BR90" s="125"/>
      <c r="BS90" s="125"/>
      <c r="BT90" s="139"/>
      <c r="BU90" s="149"/>
      <c r="BV90" s="140"/>
      <c r="BW90" s="125"/>
      <c r="BX90" s="125"/>
      <c r="BY90" s="141"/>
      <c r="BZ90" s="142"/>
      <c r="CA90" s="64"/>
    </row>
    <row r="91" spans="1:79" x14ac:dyDescent="0.25">
      <c r="A91" s="115">
        <f t="shared" ref="A91:A92" si="39">IF(C91="","",A90+1)</f>
        <v>31</v>
      </c>
      <c r="B91" s="153" t="s">
        <v>172</v>
      </c>
      <c r="C91" s="118" t="s">
        <v>311</v>
      </c>
      <c r="D91" s="118" t="s">
        <v>183</v>
      </c>
      <c r="E91" s="118" t="s">
        <v>194</v>
      </c>
      <c r="F91" s="118" t="s">
        <v>191</v>
      </c>
      <c r="G91" s="117" t="str">
        <f t="shared" si="0"/>
        <v>Inhouse_Xipple Fi</v>
      </c>
      <c r="H91" s="119"/>
      <c r="I91" s="150"/>
      <c r="J91" s="145"/>
      <c r="K91" s="122"/>
      <c r="L91" s="146">
        <v>0</v>
      </c>
      <c r="M91" s="146"/>
      <c r="N91" s="145"/>
      <c r="O91" s="124">
        <v>0</v>
      </c>
      <c r="P91" s="125">
        <v>0</v>
      </c>
      <c r="Q91" s="125">
        <v>0</v>
      </c>
      <c r="R91" s="125"/>
      <c r="S91" s="125"/>
      <c r="T91" s="125"/>
      <c r="U91" s="125"/>
      <c r="V91" s="125">
        <v>0</v>
      </c>
      <c r="W91" s="125"/>
      <c r="X91" s="125"/>
      <c r="Y91" s="126"/>
      <c r="Z91" s="127">
        <v>0</v>
      </c>
      <c r="AA91" s="128">
        <v>0</v>
      </c>
      <c r="AB91" s="129">
        <f t="shared" si="22"/>
        <v>0</v>
      </c>
      <c r="AC91" s="130"/>
      <c r="AD91" s="131" t="str">
        <f t="shared" si="2"/>
        <v>Xipple Fi</v>
      </c>
      <c r="AE91" s="132"/>
      <c r="AF91" s="132"/>
      <c r="AG91" s="136"/>
      <c r="AH91" s="135"/>
      <c r="AI91" s="135"/>
      <c r="AJ91" s="65"/>
      <c r="AK91" s="136"/>
      <c r="AL91" s="162"/>
      <c r="AM91" s="135"/>
      <c r="AN91" s="137"/>
      <c r="AO91" s="65"/>
      <c r="AP91" s="136"/>
      <c r="AQ91" s="136"/>
      <c r="AR91" s="135"/>
      <c r="AS91" s="137"/>
      <c r="AT91" s="65"/>
      <c r="AU91" s="136"/>
      <c r="AV91" s="136"/>
      <c r="AW91" s="135"/>
      <c r="AX91" s="68"/>
      <c r="AY91" s="65"/>
      <c r="AZ91" s="136"/>
      <c r="BA91" s="138"/>
      <c r="BB91" s="135"/>
      <c r="BC91" s="65"/>
      <c r="BD91" s="65"/>
      <c r="BE91" s="139"/>
      <c r="BF91" s="120"/>
      <c r="BG91" s="123"/>
      <c r="BH91" s="121"/>
      <c r="BI91" s="125"/>
      <c r="BJ91" s="139"/>
      <c r="BK91" s="125"/>
      <c r="BL91" s="140"/>
      <c r="BM91" s="125"/>
      <c r="BN91" s="125"/>
      <c r="BO91" s="139"/>
      <c r="BP91" s="149"/>
      <c r="BQ91" s="140"/>
      <c r="BR91" s="125"/>
      <c r="BS91" s="125"/>
      <c r="BT91" s="139"/>
      <c r="BU91" s="149"/>
      <c r="BV91" s="140"/>
      <c r="BW91" s="125"/>
      <c r="BX91" s="125"/>
      <c r="BY91" s="141"/>
      <c r="BZ91" s="142"/>
      <c r="CA91" s="64"/>
    </row>
    <row r="92" spans="1:79" x14ac:dyDescent="0.25">
      <c r="A92" s="115">
        <f t="shared" si="39"/>
        <v>32</v>
      </c>
      <c r="B92" s="153" t="s">
        <v>312</v>
      </c>
      <c r="C92" s="118" t="s">
        <v>313</v>
      </c>
      <c r="D92" s="118" t="s">
        <v>183</v>
      </c>
      <c r="E92" s="118" t="s">
        <v>194</v>
      </c>
      <c r="F92" s="118" t="s">
        <v>191</v>
      </c>
      <c r="G92" s="117" t="str">
        <f t="shared" si="0"/>
        <v>cRoy_Memest</v>
      </c>
      <c r="H92" s="119"/>
      <c r="I92" s="150"/>
      <c r="J92" s="145"/>
      <c r="K92" s="122"/>
      <c r="L92" s="146">
        <v>0</v>
      </c>
      <c r="M92" s="146"/>
      <c r="N92" s="145"/>
      <c r="O92" s="124">
        <v>0</v>
      </c>
      <c r="P92" s="125">
        <v>0</v>
      </c>
      <c r="Q92" s="125">
        <v>0</v>
      </c>
      <c r="R92" s="125"/>
      <c r="S92" s="125"/>
      <c r="T92" s="125"/>
      <c r="U92" s="125">
        <v>97439265</v>
      </c>
      <c r="V92" s="125">
        <v>97439265</v>
      </c>
      <c r="W92" s="125"/>
      <c r="X92" s="125"/>
      <c r="Y92" s="126"/>
      <c r="Z92" s="127">
        <v>0</v>
      </c>
      <c r="AA92" s="128">
        <v>97439265</v>
      </c>
      <c r="AB92" s="129">
        <f t="shared" si="22"/>
        <v>97439265</v>
      </c>
      <c r="AC92" s="130"/>
      <c r="AD92" s="131" t="str">
        <f t="shared" si="2"/>
        <v>Memest</v>
      </c>
      <c r="AE92" s="132"/>
      <c r="AF92" s="132"/>
      <c r="AG92" s="136"/>
      <c r="AH92" s="135"/>
      <c r="AI92" s="135"/>
      <c r="AJ92" s="65"/>
      <c r="AK92" s="136"/>
      <c r="AL92" s="162"/>
      <c r="AM92" s="135"/>
      <c r="AN92" s="137"/>
      <c r="AO92" s="65"/>
      <c r="AP92" s="136"/>
      <c r="AQ92" s="136"/>
      <c r="AR92" s="135"/>
      <c r="AS92" s="137"/>
      <c r="AT92" s="65"/>
      <c r="AU92" s="136"/>
      <c r="AV92" s="136"/>
      <c r="AW92" s="135"/>
      <c r="AX92" s="68"/>
      <c r="AY92" s="65"/>
      <c r="AZ92" s="136"/>
      <c r="BA92" s="138"/>
      <c r="BB92" s="135"/>
      <c r="BC92" s="65"/>
      <c r="BD92" s="65"/>
      <c r="BE92" s="139"/>
      <c r="BF92" s="120"/>
      <c r="BG92" s="123"/>
      <c r="BH92" s="121"/>
      <c r="BI92" s="125"/>
      <c r="BJ92" s="139"/>
      <c r="BK92" s="125"/>
      <c r="BL92" s="140"/>
      <c r="BM92" s="125"/>
      <c r="BN92" s="125"/>
      <c r="BO92" s="139"/>
      <c r="BP92" s="149"/>
      <c r="BQ92" s="140"/>
      <c r="BR92" s="125"/>
      <c r="BS92" s="125"/>
      <c r="BT92" s="139"/>
      <c r="BU92" s="149"/>
      <c r="BV92" s="140"/>
      <c r="BW92" s="125"/>
      <c r="BX92" s="125"/>
      <c r="BY92" s="141"/>
      <c r="BZ92" s="142"/>
      <c r="CA92" s="64"/>
    </row>
    <row r="93" spans="1:79" x14ac:dyDescent="0.25">
      <c r="A93" s="115">
        <v>31</v>
      </c>
      <c r="B93" s="153" t="s">
        <v>218</v>
      </c>
      <c r="C93" s="118" t="s">
        <v>314</v>
      </c>
      <c r="D93" s="118" t="s">
        <v>183</v>
      </c>
      <c r="E93" s="118" t="s">
        <v>179</v>
      </c>
      <c r="F93" s="118" t="s">
        <v>180</v>
      </c>
      <c r="G93" s="117" t="str">
        <f t="shared" si="0"/>
        <v>GTS_GTS_Onepay</v>
      </c>
      <c r="H93" s="119"/>
      <c r="I93" s="150">
        <v>78609000</v>
      </c>
      <c r="J93" s="145"/>
      <c r="K93" s="122"/>
      <c r="L93" s="146">
        <v>78609000</v>
      </c>
      <c r="M93" s="146">
        <v>61356091</v>
      </c>
      <c r="N93" s="145"/>
      <c r="O93" s="124"/>
      <c r="P93" s="125">
        <v>61356091</v>
      </c>
      <c r="Q93" s="125">
        <v>17252909</v>
      </c>
      <c r="R93" s="148">
        <v>0.2195</v>
      </c>
      <c r="S93" s="125">
        <v>58417000</v>
      </c>
      <c r="T93" s="125"/>
      <c r="U93" s="125"/>
      <c r="V93" s="125">
        <v>58417000</v>
      </c>
      <c r="W93" s="125">
        <v>55118512</v>
      </c>
      <c r="X93" s="125"/>
      <c r="Y93" s="126"/>
      <c r="Z93" s="127">
        <v>55118512</v>
      </c>
      <c r="AA93" s="128">
        <v>3298488</v>
      </c>
      <c r="AB93" s="129">
        <f t="shared" si="22"/>
        <v>3298488</v>
      </c>
      <c r="AC93" s="130"/>
      <c r="AD93" s="131" t="str">
        <f t="shared" si="2"/>
        <v>GTS_Onepay</v>
      </c>
      <c r="AE93" s="132"/>
      <c r="AF93" s="132"/>
      <c r="AG93" s="136"/>
      <c r="AH93" s="135"/>
      <c r="AI93" s="135"/>
      <c r="AJ93" s="65"/>
      <c r="AK93" s="136"/>
      <c r="AL93" s="162"/>
      <c r="AM93" s="135"/>
      <c r="AN93" s="137"/>
      <c r="AO93" s="65"/>
      <c r="AP93" s="136"/>
      <c r="AQ93" s="136"/>
      <c r="AR93" s="135"/>
      <c r="AS93" s="137"/>
      <c r="AT93" s="65"/>
      <c r="AU93" s="136"/>
      <c r="AV93" s="136"/>
      <c r="AW93" s="135"/>
      <c r="AX93" s="68"/>
      <c r="AY93" s="65"/>
      <c r="AZ93" s="136"/>
      <c r="BA93" s="138"/>
      <c r="BB93" s="135"/>
      <c r="BC93" s="65"/>
      <c r="BD93" s="65"/>
      <c r="BE93" s="139"/>
      <c r="BF93" s="120"/>
      <c r="BG93" s="123"/>
      <c r="BH93" s="121"/>
      <c r="BI93" s="125"/>
      <c r="BJ93" s="139"/>
      <c r="BK93" s="125"/>
      <c r="BL93" s="140"/>
      <c r="BM93" s="125"/>
      <c r="BN93" s="125"/>
      <c r="BO93" s="139"/>
      <c r="BP93" s="149"/>
      <c r="BQ93" s="140"/>
      <c r="BR93" s="125"/>
      <c r="BS93" s="125"/>
      <c r="BT93" s="139"/>
      <c r="BU93" s="149"/>
      <c r="BV93" s="140"/>
      <c r="BW93" s="125"/>
      <c r="BX93" s="125"/>
      <c r="BY93" s="141"/>
      <c r="BZ93" s="142"/>
      <c r="CA93" s="64"/>
    </row>
    <row r="94" spans="1:79" x14ac:dyDescent="0.25">
      <c r="A94" s="115">
        <f t="shared" ref="A94:A95" si="40">IF(C94="","",A93+1)</f>
        <v>32</v>
      </c>
      <c r="B94" s="153" t="s">
        <v>301</v>
      </c>
      <c r="C94" s="118" t="s">
        <v>315</v>
      </c>
      <c r="D94" s="118" t="s">
        <v>178</v>
      </c>
      <c r="E94" s="118" t="s">
        <v>179</v>
      </c>
      <c r="F94" s="118" t="s">
        <v>191</v>
      </c>
      <c r="G94" s="117" t="str">
        <f t="shared" si="0"/>
        <v>Max_Tonuki_2dev</v>
      </c>
      <c r="H94" s="119"/>
      <c r="I94" s="150"/>
      <c r="J94" s="145"/>
      <c r="K94" s="122">
        <v>39786130</v>
      </c>
      <c r="L94" s="146">
        <v>39786130</v>
      </c>
      <c r="M94" s="146">
        <v>36177533</v>
      </c>
      <c r="N94" s="145"/>
      <c r="O94" s="124"/>
      <c r="P94" s="125">
        <v>36177533</v>
      </c>
      <c r="Q94" s="125">
        <v>3608597</v>
      </c>
      <c r="R94" s="148">
        <v>0.0907</v>
      </c>
      <c r="S94" s="125">
        <v>39786130</v>
      </c>
      <c r="T94" s="125"/>
      <c r="U94" s="125"/>
      <c r="V94" s="125">
        <v>39786130</v>
      </c>
      <c r="W94" s="125"/>
      <c r="X94" s="125"/>
      <c r="Y94" s="126"/>
      <c r="Z94" s="127">
        <v>0</v>
      </c>
      <c r="AA94" s="128">
        <v>39786130</v>
      </c>
      <c r="AB94" s="129">
        <f t="shared" si="22"/>
        <v>39786130</v>
      </c>
      <c r="AC94" s="130"/>
      <c r="AD94" s="131" t="str">
        <f t="shared" si="2"/>
        <v>Tonuki_2dev</v>
      </c>
      <c r="AE94" s="132"/>
      <c r="AF94" s="132"/>
      <c r="AG94" s="136"/>
      <c r="AH94" s="135"/>
      <c r="AI94" s="135"/>
      <c r="AJ94" s="65"/>
      <c r="AK94" s="136"/>
      <c r="AL94" s="162"/>
      <c r="AM94" s="135"/>
      <c r="AN94" s="137"/>
      <c r="AO94" s="65"/>
      <c r="AP94" s="136"/>
      <c r="AQ94" s="136"/>
      <c r="AR94" s="135"/>
      <c r="AS94" s="137"/>
      <c r="AT94" s="65"/>
      <c r="AU94" s="136"/>
      <c r="AV94" s="136"/>
      <c r="AW94" s="135"/>
      <c r="AX94" s="68"/>
      <c r="AY94" s="65"/>
      <c r="AZ94" s="136"/>
      <c r="BA94" s="138"/>
      <c r="BB94" s="135"/>
      <c r="BC94" s="65"/>
      <c r="BD94" s="65"/>
      <c r="BE94" s="139"/>
      <c r="BF94" s="120"/>
      <c r="BG94" s="123"/>
      <c r="BH94" s="121"/>
      <c r="BI94" s="125"/>
      <c r="BJ94" s="139"/>
      <c r="BK94" s="125"/>
      <c r="BL94" s="140"/>
      <c r="BM94" s="125"/>
      <c r="BN94" s="125"/>
      <c r="BO94" s="139"/>
      <c r="BP94" s="149"/>
      <c r="BQ94" s="140"/>
      <c r="BR94" s="125"/>
      <c r="BS94" s="125"/>
      <c r="BT94" s="139"/>
      <c r="BU94" s="149"/>
      <c r="BV94" s="140"/>
      <c r="BW94" s="125"/>
      <c r="BX94" s="125"/>
      <c r="BY94" s="141"/>
      <c r="BZ94" s="142"/>
      <c r="CA94" s="64"/>
    </row>
    <row r="95" spans="1:79" x14ac:dyDescent="0.25">
      <c r="A95" s="115">
        <f t="shared" si="40"/>
        <v>33</v>
      </c>
      <c r="B95" s="153" t="s">
        <v>304</v>
      </c>
      <c r="C95" s="118" t="s">
        <v>316</v>
      </c>
      <c r="D95" s="118" t="s">
        <v>178</v>
      </c>
      <c r="E95" s="118" t="s">
        <v>194</v>
      </c>
      <c r="F95" s="118" t="s">
        <v>191</v>
      </c>
      <c r="G95" s="117" t="str">
        <f t="shared" si="0"/>
        <v>Erik_Taiboku - Limit Orders Bot [EVM]</v>
      </c>
      <c r="H95" s="119"/>
      <c r="I95" s="150"/>
      <c r="J95" s="145"/>
      <c r="K95" s="122"/>
      <c r="L95" s="146">
        <v>0</v>
      </c>
      <c r="M95" s="146"/>
      <c r="N95" s="145"/>
      <c r="O95" s="124">
        <v>0</v>
      </c>
      <c r="P95" s="125">
        <v>0</v>
      </c>
      <c r="Q95" s="125">
        <v>0</v>
      </c>
      <c r="R95" s="125"/>
      <c r="S95" s="125"/>
      <c r="T95" s="125"/>
      <c r="U95" s="125"/>
      <c r="V95" s="125">
        <v>0</v>
      </c>
      <c r="W95" s="125"/>
      <c r="X95" s="125"/>
      <c r="Y95" s="126"/>
      <c r="Z95" s="127">
        <v>0</v>
      </c>
      <c r="AA95" s="128">
        <v>0</v>
      </c>
      <c r="AB95" s="129">
        <f t="shared" si="22"/>
        <v>0</v>
      </c>
      <c r="AC95" s="130"/>
      <c r="AD95" s="131" t="str">
        <f t="shared" si="2"/>
        <v>Taiboku - Limit Orders Bot [EVM]</v>
      </c>
      <c r="AE95" s="132"/>
      <c r="AF95" s="132"/>
      <c r="AG95" s="136"/>
      <c r="AH95" s="135"/>
      <c r="AI95" s="135"/>
      <c r="AJ95" s="65"/>
      <c r="AK95" s="136"/>
      <c r="AL95" s="162"/>
      <c r="AM95" s="135"/>
      <c r="AN95" s="137"/>
      <c r="AO95" s="65"/>
      <c r="AP95" s="136"/>
      <c r="AQ95" s="136"/>
      <c r="AR95" s="135"/>
      <c r="AS95" s="137"/>
      <c r="AT95" s="65"/>
      <c r="AU95" s="136"/>
      <c r="AV95" s="136"/>
      <c r="AW95" s="135"/>
      <c r="AX95" s="68"/>
      <c r="AY95" s="65"/>
      <c r="AZ95" s="136"/>
      <c r="BA95" s="138"/>
      <c r="BB95" s="135"/>
      <c r="BC95" s="65"/>
      <c r="BD95" s="65"/>
      <c r="BE95" s="139"/>
      <c r="BF95" s="120"/>
      <c r="BG95" s="123"/>
      <c r="BH95" s="121"/>
      <c r="BI95" s="125"/>
      <c r="BJ95" s="139"/>
      <c r="BK95" s="125"/>
      <c r="BL95" s="140"/>
      <c r="BM95" s="125"/>
      <c r="BN95" s="125"/>
      <c r="BO95" s="139"/>
      <c r="BP95" s="149"/>
      <c r="BQ95" s="140"/>
      <c r="BR95" s="125"/>
      <c r="BS95" s="125"/>
      <c r="BT95" s="139"/>
      <c r="BU95" s="149"/>
      <c r="BV95" s="140"/>
      <c r="BW95" s="125"/>
      <c r="BX95" s="125"/>
      <c r="BY95" s="141"/>
      <c r="BZ95" s="142"/>
      <c r="CA95" s="64"/>
    </row>
    <row r="96" spans="1:79" x14ac:dyDescent="0.25">
      <c r="A96" s="115">
        <v>32</v>
      </c>
      <c r="B96" s="153" t="s">
        <v>304</v>
      </c>
      <c r="C96" s="118" t="s">
        <v>317</v>
      </c>
      <c r="D96" s="118" t="s">
        <v>178</v>
      </c>
      <c r="E96" s="118" t="s">
        <v>194</v>
      </c>
      <c r="F96" s="118" t="s">
        <v>191</v>
      </c>
      <c r="G96" s="117" t="str">
        <f t="shared" si="0"/>
        <v>Erik_Taiboku - Volume Bot [SOL]</v>
      </c>
      <c r="H96" s="119"/>
      <c r="I96" s="150"/>
      <c r="J96" s="145"/>
      <c r="K96" s="122"/>
      <c r="L96" s="146">
        <v>0</v>
      </c>
      <c r="M96" s="146"/>
      <c r="N96" s="145"/>
      <c r="O96" s="124">
        <v>0</v>
      </c>
      <c r="P96" s="125">
        <v>0</v>
      </c>
      <c r="Q96" s="125">
        <v>0</v>
      </c>
      <c r="R96" s="125"/>
      <c r="S96" s="125"/>
      <c r="T96" s="125"/>
      <c r="U96" s="125"/>
      <c r="V96" s="125">
        <v>0</v>
      </c>
      <c r="W96" s="125"/>
      <c r="X96" s="125"/>
      <c r="Y96" s="126"/>
      <c r="Z96" s="127">
        <v>0</v>
      </c>
      <c r="AA96" s="128">
        <v>0</v>
      </c>
      <c r="AB96" s="129">
        <f t="shared" si="22"/>
        <v>0</v>
      </c>
      <c r="AC96" s="130"/>
      <c r="AD96" s="131" t="str">
        <f t="shared" si="2"/>
        <v>Taiboku - Volume Bot [SOL]</v>
      </c>
      <c r="AE96" s="132"/>
      <c r="AF96" s="132"/>
      <c r="AG96" s="136"/>
      <c r="AH96" s="135"/>
      <c r="AI96" s="135"/>
      <c r="AJ96" s="65"/>
      <c r="AK96" s="136"/>
      <c r="AL96" s="162"/>
      <c r="AM96" s="135"/>
      <c r="AN96" s="137"/>
      <c r="AO96" s="65"/>
      <c r="AP96" s="136"/>
      <c r="AQ96" s="136"/>
      <c r="AR96" s="135"/>
      <c r="AS96" s="137"/>
      <c r="AT96" s="65"/>
      <c r="AU96" s="136"/>
      <c r="AV96" s="136"/>
      <c r="AW96" s="135"/>
      <c r="AX96" s="68"/>
      <c r="AY96" s="65"/>
      <c r="AZ96" s="136"/>
      <c r="BA96" s="138"/>
      <c r="BB96" s="135"/>
      <c r="BC96" s="65"/>
      <c r="BD96" s="65"/>
      <c r="BE96" s="139"/>
      <c r="BF96" s="120"/>
      <c r="BG96" s="123"/>
      <c r="BH96" s="121"/>
      <c r="BI96" s="125"/>
      <c r="BJ96" s="139"/>
      <c r="BK96" s="125"/>
      <c r="BL96" s="140"/>
      <c r="BM96" s="125"/>
      <c r="BN96" s="125"/>
      <c r="BO96" s="139"/>
      <c r="BP96" s="149"/>
      <c r="BQ96" s="140"/>
      <c r="BR96" s="125"/>
      <c r="BS96" s="125"/>
      <c r="BT96" s="139"/>
      <c r="BU96" s="149"/>
      <c r="BV96" s="140"/>
      <c r="BW96" s="125"/>
      <c r="BX96" s="125"/>
      <c r="BY96" s="141"/>
      <c r="BZ96" s="142"/>
      <c r="CA96" s="64"/>
    </row>
    <row r="97" spans="1:79" x14ac:dyDescent="0.25">
      <c r="A97" s="115">
        <f t="shared" ref="A97:A98" si="41">IF(C97="","",A96+1)</f>
        <v>33</v>
      </c>
      <c r="B97" s="153" t="s">
        <v>304</v>
      </c>
      <c r="C97" s="118" t="s">
        <v>318</v>
      </c>
      <c r="D97" s="118" t="s">
        <v>178</v>
      </c>
      <c r="E97" s="118" t="s">
        <v>194</v>
      </c>
      <c r="F97" s="118" t="s">
        <v>191</v>
      </c>
      <c r="G97" s="117" t="str">
        <f t="shared" si="0"/>
        <v>Erik_Taiboku - Server &amp; Dashboard For Interacting with Volume Bots</v>
      </c>
      <c r="H97" s="119"/>
      <c r="I97" s="150"/>
      <c r="J97" s="145"/>
      <c r="K97" s="122"/>
      <c r="L97" s="146">
        <v>0</v>
      </c>
      <c r="M97" s="146"/>
      <c r="N97" s="145"/>
      <c r="O97" s="124">
        <v>0</v>
      </c>
      <c r="P97" s="125">
        <v>0</v>
      </c>
      <c r="Q97" s="125">
        <v>0</v>
      </c>
      <c r="R97" s="125"/>
      <c r="S97" s="125"/>
      <c r="T97" s="125"/>
      <c r="U97" s="125"/>
      <c r="V97" s="125">
        <v>0</v>
      </c>
      <c r="W97" s="125"/>
      <c r="X97" s="125"/>
      <c r="Y97" s="126"/>
      <c r="Z97" s="127">
        <v>0</v>
      </c>
      <c r="AA97" s="128">
        <v>0</v>
      </c>
      <c r="AB97" s="129">
        <f t="shared" si="22"/>
        <v>0</v>
      </c>
      <c r="AC97" s="130"/>
      <c r="AD97" s="131" t="str">
        <f t="shared" si="2"/>
        <v>Taiboku - Server &amp; Dashboard For Interacting with Volume Bots</v>
      </c>
      <c r="AE97" s="132"/>
      <c r="AF97" s="132"/>
      <c r="AG97" s="136"/>
      <c r="AH97" s="135"/>
      <c r="AI97" s="135"/>
      <c r="AJ97" s="65"/>
      <c r="AK97" s="136"/>
      <c r="AL97" s="162"/>
      <c r="AM97" s="135"/>
      <c r="AN97" s="137"/>
      <c r="AO97" s="65"/>
      <c r="AP97" s="136"/>
      <c r="AQ97" s="136"/>
      <c r="AR97" s="135"/>
      <c r="AS97" s="137"/>
      <c r="AT97" s="65"/>
      <c r="AU97" s="136"/>
      <c r="AV97" s="136"/>
      <c r="AW97" s="135"/>
      <c r="AX97" s="68"/>
      <c r="AY97" s="65"/>
      <c r="AZ97" s="136"/>
      <c r="BA97" s="138"/>
      <c r="BB97" s="135"/>
      <c r="BC97" s="65"/>
      <c r="BD97" s="65"/>
      <c r="BE97" s="139"/>
      <c r="BF97" s="120"/>
      <c r="BG97" s="123"/>
      <c r="BH97" s="121"/>
      <c r="BI97" s="125"/>
      <c r="BJ97" s="139"/>
      <c r="BK97" s="125"/>
      <c r="BL97" s="140"/>
      <c r="BM97" s="125"/>
      <c r="BN97" s="125"/>
      <c r="BO97" s="139"/>
      <c r="BP97" s="149"/>
      <c r="BQ97" s="140"/>
      <c r="BR97" s="125"/>
      <c r="BS97" s="125"/>
      <c r="BT97" s="139"/>
      <c r="BU97" s="149"/>
      <c r="BV97" s="140"/>
      <c r="BW97" s="125"/>
      <c r="BX97" s="125"/>
      <c r="BY97" s="141"/>
      <c r="BZ97" s="142"/>
      <c r="CA97" s="64"/>
    </row>
    <row r="98" spans="1:79" x14ac:dyDescent="0.25">
      <c r="A98" s="115">
        <f t="shared" si="41"/>
        <v>34</v>
      </c>
      <c r="B98" s="153" t="s">
        <v>312</v>
      </c>
      <c r="C98" s="118" t="s">
        <v>319</v>
      </c>
      <c r="D98" s="118" t="s">
        <v>178</v>
      </c>
      <c r="E98" s="118" t="s">
        <v>194</v>
      </c>
      <c r="F98" s="118" t="s">
        <v>191</v>
      </c>
      <c r="G98" s="117" t="str">
        <f t="shared" si="0"/>
        <v>cRoy_Saltmines - Memest Private Round</v>
      </c>
      <c r="H98" s="119"/>
      <c r="I98" s="150"/>
      <c r="J98" s="145"/>
      <c r="K98" s="122"/>
      <c r="L98" s="146">
        <v>0</v>
      </c>
      <c r="M98" s="146"/>
      <c r="N98" s="145"/>
      <c r="O98" s="124">
        <v>0</v>
      </c>
      <c r="P98" s="125">
        <v>0</v>
      </c>
      <c r="Q98" s="125">
        <v>0</v>
      </c>
      <c r="R98" s="125"/>
      <c r="S98" s="125"/>
      <c r="T98" s="125"/>
      <c r="U98" s="125"/>
      <c r="V98" s="125">
        <v>0</v>
      </c>
      <c r="W98" s="125"/>
      <c r="X98" s="125"/>
      <c r="Y98" s="126"/>
      <c r="Z98" s="127">
        <v>0</v>
      </c>
      <c r="AA98" s="128">
        <v>0</v>
      </c>
      <c r="AB98" s="129">
        <f t="shared" si="22"/>
        <v>0</v>
      </c>
      <c r="AC98" s="130"/>
      <c r="AD98" s="131" t="str">
        <f t="shared" si="2"/>
        <v>Saltmines - Memest Private Round</v>
      </c>
      <c r="AE98" s="132"/>
      <c r="AF98" s="132"/>
      <c r="AG98" s="136"/>
      <c r="AH98" s="135"/>
      <c r="AI98" s="135"/>
      <c r="AJ98" s="65"/>
      <c r="AK98" s="136"/>
      <c r="AL98" s="162"/>
      <c r="AM98" s="135"/>
      <c r="AN98" s="137"/>
      <c r="AO98" s="65"/>
      <c r="AP98" s="136"/>
      <c r="AQ98" s="136"/>
      <c r="AR98" s="135"/>
      <c r="AS98" s="137"/>
      <c r="AT98" s="65"/>
      <c r="AU98" s="136"/>
      <c r="AV98" s="136"/>
      <c r="AW98" s="135"/>
      <c r="AX98" s="68"/>
      <c r="AY98" s="65"/>
      <c r="AZ98" s="136"/>
      <c r="BA98" s="138"/>
      <c r="BB98" s="135"/>
      <c r="BC98" s="65"/>
      <c r="BD98" s="65"/>
      <c r="BE98" s="139"/>
      <c r="BF98" s="120"/>
      <c r="BG98" s="123"/>
      <c r="BH98" s="121"/>
      <c r="BI98" s="125"/>
      <c r="BJ98" s="139"/>
      <c r="BK98" s="125"/>
      <c r="BL98" s="140"/>
      <c r="BM98" s="125"/>
      <c r="BN98" s="125"/>
      <c r="BO98" s="139"/>
      <c r="BP98" s="149"/>
      <c r="BQ98" s="140"/>
      <c r="BR98" s="125"/>
      <c r="BS98" s="125"/>
      <c r="BT98" s="139"/>
      <c r="BU98" s="149"/>
      <c r="BV98" s="140"/>
      <c r="BW98" s="125"/>
      <c r="BX98" s="125"/>
      <c r="BY98" s="141"/>
      <c r="BZ98" s="142"/>
      <c r="CA98" s="64"/>
    </row>
    <row r="99" spans="1:79" x14ac:dyDescent="0.25">
      <c r="A99" s="115">
        <v>33</v>
      </c>
      <c r="B99" s="153" t="s">
        <v>320</v>
      </c>
      <c r="C99" s="118" t="s">
        <v>321</v>
      </c>
      <c r="D99" s="118" t="s">
        <v>178</v>
      </c>
      <c r="E99" s="118" t="s">
        <v>179</v>
      </c>
      <c r="F99" s="118" t="s">
        <v>180</v>
      </c>
      <c r="G99" s="117" t="str">
        <f t="shared" si="0"/>
        <v>Smart-solutions_Pramis onsite</v>
      </c>
      <c r="H99" s="119"/>
      <c r="I99" s="144">
        <v>19702000</v>
      </c>
      <c r="J99" s="145"/>
      <c r="K99" s="122"/>
      <c r="L99" s="147">
        <v>19702000</v>
      </c>
      <c r="M99" s="146">
        <v>11467673</v>
      </c>
      <c r="N99" s="145"/>
      <c r="O99" s="124"/>
      <c r="P99" s="158">
        <v>11467673</v>
      </c>
      <c r="Q99" s="158">
        <v>8234327</v>
      </c>
      <c r="R99" s="159">
        <v>0.4179</v>
      </c>
      <c r="S99" s="158"/>
      <c r="T99" s="158"/>
      <c r="U99" s="158"/>
      <c r="V99" s="158">
        <v>0</v>
      </c>
      <c r="W99" s="158"/>
      <c r="X99" s="158"/>
      <c r="Y99" s="126"/>
      <c r="Z99" s="127">
        <v>0</v>
      </c>
      <c r="AA99" s="128">
        <v>0</v>
      </c>
      <c r="AB99" s="129">
        <f t="shared" si="22"/>
        <v>0</v>
      </c>
      <c r="AC99" s="130"/>
      <c r="AD99" s="131" t="str">
        <f t="shared" si="2"/>
        <v>Pramis onsite</v>
      </c>
      <c r="AE99" s="132"/>
      <c r="AF99" s="132"/>
      <c r="AG99" s="136"/>
      <c r="AH99" s="135"/>
      <c r="AI99" s="135"/>
      <c r="AJ99" s="65"/>
      <c r="AK99" s="136"/>
      <c r="AL99" s="162"/>
      <c r="AM99" s="135"/>
      <c r="AN99" s="137"/>
      <c r="AO99" s="65"/>
      <c r="AP99" s="136"/>
      <c r="AQ99" s="136"/>
      <c r="AR99" s="135"/>
      <c r="AS99" s="137"/>
      <c r="AT99" s="65"/>
      <c r="AU99" s="136"/>
      <c r="AV99" s="136"/>
      <c r="AW99" s="135"/>
      <c r="AX99" s="68"/>
      <c r="AY99" s="65"/>
      <c r="AZ99" s="136"/>
      <c r="BA99" s="138"/>
      <c r="BB99" s="135"/>
      <c r="BC99" s="65"/>
      <c r="BD99" s="65"/>
      <c r="BE99" s="139"/>
      <c r="BF99" s="120"/>
      <c r="BG99" s="123"/>
      <c r="BH99" s="121"/>
      <c r="BI99" s="125"/>
      <c r="BJ99" s="139"/>
      <c r="BK99" s="125"/>
      <c r="BL99" s="140"/>
      <c r="BM99" s="125"/>
      <c r="BN99" s="125"/>
      <c r="BO99" s="139"/>
      <c r="BP99" s="125"/>
      <c r="BQ99" s="140"/>
      <c r="BR99" s="125"/>
      <c r="BS99" s="125"/>
      <c r="BT99" s="139"/>
      <c r="BU99" s="149"/>
      <c r="BV99" s="140"/>
      <c r="BW99" s="125"/>
      <c r="BX99" s="125"/>
      <c r="BY99" s="141"/>
      <c r="BZ99" s="142"/>
      <c r="CA99" s="64"/>
    </row>
    <row r="100" spans="1:79" x14ac:dyDescent="0.25">
      <c r="A100" s="115">
        <f t="shared" ref="A100:A101" si="42">IF(C100="","",A99+1)</f>
        <v>34</v>
      </c>
      <c r="B100" s="153" t="s">
        <v>303</v>
      </c>
      <c r="C100" s="118" t="s">
        <v>322</v>
      </c>
      <c r="D100" s="118" t="s">
        <v>178</v>
      </c>
      <c r="E100" s="118" t="s">
        <v>194</v>
      </c>
      <c r="F100" s="118" t="s">
        <v>191</v>
      </c>
      <c r="G100" s="117" t="str">
        <f t="shared" si="0"/>
        <v>Honeypot_Honeypot Fjord/Update Filter</v>
      </c>
      <c r="H100" s="119"/>
      <c r="I100" s="144">
        <v>12634000</v>
      </c>
      <c r="J100" s="145"/>
      <c r="K100" s="122"/>
      <c r="L100" s="147">
        <v>12634000</v>
      </c>
      <c r="M100" s="146">
        <v>0</v>
      </c>
      <c r="N100" s="145"/>
      <c r="O100" s="124"/>
      <c r="P100" s="125">
        <v>0</v>
      </c>
      <c r="Q100" s="125">
        <v>12634000</v>
      </c>
      <c r="R100" s="148">
        <v>1</v>
      </c>
      <c r="S100" s="125"/>
      <c r="T100" s="125"/>
      <c r="U100" s="125"/>
      <c r="V100" s="125">
        <v>0</v>
      </c>
      <c r="W100" s="125"/>
      <c r="X100" s="125"/>
      <c r="Y100" s="126"/>
      <c r="Z100" s="127">
        <v>0</v>
      </c>
      <c r="AA100" s="128">
        <v>0</v>
      </c>
      <c r="AB100" s="129">
        <f t="shared" si="22"/>
        <v>0</v>
      </c>
      <c r="AC100" s="130"/>
      <c r="AD100" s="131" t="str">
        <f t="shared" si="2"/>
        <v>Honeypot Fjord/Update Filter</v>
      </c>
      <c r="AE100" s="132"/>
      <c r="AF100" s="132"/>
      <c r="AG100" s="136"/>
      <c r="AH100" s="135"/>
      <c r="AI100" s="135"/>
      <c r="AJ100" s="65"/>
      <c r="AK100" s="136"/>
      <c r="AL100" s="162"/>
      <c r="AM100" s="135"/>
      <c r="AN100" s="137"/>
      <c r="AO100" s="65"/>
      <c r="AP100" s="136"/>
      <c r="AQ100" s="136"/>
      <c r="AR100" s="135"/>
      <c r="AS100" s="137"/>
      <c r="AT100" s="65"/>
      <c r="AU100" s="136"/>
      <c r="AV100" s="136"/>
      <c r="AW100" s="135"/>
      <c r="AX100" s="68"/>
      <c r="AY100" s="65"/>
      <c r="AZ100" s="136"/>
      <c r="BA100" s="138"/>
      <c r="BB100" s="135"/>
      <c r="BC100" s="65"/>
      <c r="BD100" s="65"/>
      <c r="BE100" s="139"/>
      <c r="BF100" s="120"/>
      <c r="BG100" s="123"/>
      <c r="BH100" s="121"/>
      <c r="BI100" s="125"/>
      <c r="BJ100" s="139"/>
      <c r="BK100" s="125"/>
      <c r="BL100" s="140"/>
      <c r="BM100" s="125"/>
      <c r="BN100" s="125"/>
      <c r="BO100" s="139"/>
      <c r="BP100" s="125"/>
      <c r="BQ100" s="140"/>
      <c r="BR100" s="125"/>
      <c r="BS100" s="125"/>
      <c r="BT100" s="139"/>
      <c r="BU100" s="149"/>
      <c r="BV100" s="140"/>
      <c r="BW100" s="125"/>
      <c r="BX100" s="125"/>
      <c r="BY100" s="141"/>
      <c r="BZ100" s="142"/>
      <c r="CA100" s="64"/>
    </row>
    <row r="101" spans="1:79" x14ac:dyDescent="0.25">
      <c r="A101" s="115">
        <f t="shared" si="42"/>
        <v>35</v>
      </c>
      <c r="B101" s="153" t="s">
        <v>263</v>
      </c>
      <c r="C101" s="118" t="s">
        <v>323</v>
      </c>
      <c r="D101" s="118" t="s">
        <v>183</v>
      </c>
      <c r="E101" s="118" t="s">
        <v>194</v>
      </c>
      <c r="F101" s="118" t="s">
        <v>191</v>
      </c>
      <c r="G101" s="117" t="str">
        <f t="shared" si="0"/>
        <v>Fomoney_Fomoney TG app</v>
      </c>
      <c r="H101" s="119"/>
      <c r="I101" s="150"/>
      <c r="J101" s="145"/>
      <c r="K101" s="122"/>
      <c r="L101" s="146">
        <v>0</v>
      </c>
      <c r="M101" s="146"/>
      <c r="N101" s="145"/>
      <c r="O101" s="124">
        <v>41137801</v>
      </c>
      <c r="P101" s="125">
        <v>41137801</v>
      </c>
      <c r="Q101" s="125">
        <v>-41137801</v>
      </c>
      <c r="R101" s="125"/>
      <c r="S101" s="125"/>
      <c r="T101" s="125"/>
      <c r="U101" s="125"/>
      <c r="V101" s="125">
        <v>0</v>
      </c>
      <c r="W101" s="125"/>
      <c r="X101" s="125"/>
      <c r="Y101" s="126"/>
      <c r="Z101" s="127">
        <v>0</v>
      </c>
      <c r="AA101" s="128">
        <v>0</v>
      </c>
      <c r="AB101" s="129">
        <f t="shared" si="22"/>
        <v>0</v>
      </c>
      <c r="AC101" s="130"/>
      <c r="AD101" s="131" t="str">
        <f t="shared" si="2"/>
        <v>Fomoney TG app</v>
      </c>
      <c r="AE101" s="132"/>
      <c r="AF101" s="132"/>
      <c r="AG101" s="136"/>
      <c r="AH101" s="135"/>
      <c r="AI101" s="135"/>
      <c r="AJ101" s="65"/>
      <c r="AK101" s="136"/>
      <c r="AL101" s="162"/>
      <c r="AM101" s="135"/>
      <c r="AN101" s="137"/>
      <c r="AO101" s="65"/>
      <c r="AP101" s="136"/>
      <c r="AQ101" s="136"/>
      <c r="AR101" s="135"/>
      <c r="AS101" s="137"/>
      <c r="AT101" s="65"/>
      <c r="AU101" s="136"/>
      <c r="AV101" s="136"/>
      <c r="AW101" s="135"/>
      <c r="AX101" s="68"/>
      <c r="AY101" s="65"/>
      <c r="AZ101" s="136"/>
      <c r="BA101" s="138"/>
      <c r="BB101" s="135"/>
      <c r="BC101" s="65"/>
      <c r="BD101" s="65"/>
      <c r="BE101" s="139"/>
      <c r="BF101" s="120"/>
      <c r="BG101" s="123"/>
      <c r="BH101" s="121"/>
      <c r="BI101" s="125"/>
      <c r="BJ101" s="139"/>
      <c r="BK101" s="125"/>
      <c r="BL101" s="140"/>
      <c r="BM101" s="125"/>
      <c r="BN101" s="125"/>
      <c r="BO101" s="139"/>
      <c r="BP101" s="125"/>
      <c r="BQ101" s="140"/>
      <c r="BR101" s="125"/>
      <c r="BS101" s="125"/>
      <c r="BT101" s="139"/>
      <c r="BU101" s="149"/>
      <c r="BV101" s="140"/>
      <c r="BW101" s="125"/>
      <c r="BX101" s="125"/>
      <c r="BY101" s="141"/>
      <c r="BZ101" s="142"/>
      <c r="CA101" s="64"/>
    </row>
    <row r="102" spans="1:79" x14ac:dyDescent="0.25">
      <c r="A102" s="115">
        <v>34</v>
      </c>
      <c r="B102" s="153" t="s">
        <v>324</v>
      </c>
      <c r="C102" s="118" t="s">
        <v>325</v>
      </c>
      <c r="D102" s="118" t="s">
        <v>183</v>
      </c>
      <c r="E102" s="118" t="s">
        <v>194</v>
      </c>
      <c r="F102" s="118" t="s">
        <v>191</v>
      </c>
      <c r="G102" s="117" t="str">
        <f t="shared" si="0"/>
        <v>Zestif_Zestif_TAEX NFT Mint</v>
      </c>
      <c r="H102" s="119"/>
      <c r="I102" s="150"/>
      <c r="J102" s="145"/>
      <c r="K102" s="122"/>
      <c r="L102" s="146">
        <v>0</v>
      </c>
      <c r="M102" s="146"/>
      <c r="N102" s="145"/>
      <c r="O102" s="124"/>
      <c r="P102" s="125">
        <v>0</v>
      </c>
      <c r="Q102" s="125">
        <v>0</v>
      </c>
      <c r="R102" s="125"/>
      <c r="S102" s="125">
        <v>63731640</v>
      </c>
      <c r="T102" s="125"/>
      <c r="U102" s="125"/>
      <c r="V102" s="125">
        <v>63731640</v>
      </c>
      <c r="W102" s="125">
        <v>18914619</v>
      </c>
      <c r="X102" s="125"/>
      <c r="Y102" s="126"/>
      <c r="Z102" s="127">
        <v>18914619</v>
      </c>
      <c r="AA102" s="128">
        <v>44817021</v>
      </c>
      <c r="AB102" s="129">
        <f t="shared" si="22"/>
        <v>44817021</v>
      </c>
      <c r="AC102" s="130"/>
      <c r="AD102" s="131" t="str">
        <f t="shared" si="2"/>
        <v>Zestif_TAEX NFT Mint</v>
      </c>
      <c r="AE102" s="132"/>
      <c r="AF102" s="132"/>
      <c r="AG102" s="136"/>
      <c r="AH102" s="135"/>
      <c r="AI102" s="135"/>
      <c r="AJ102" s="65"/>
      <c r="AK102" s="136"/>
      <c r="AL102" s="162"/>
      <c r="AM102" s="135"/>
      <c r="AN102" s="137"/>
      <c r="AO102" s="65"/>
      <c r="AP102" s="136"/>
      <c r="AQ102" s="136"/>
      <c r="AR102" s="135"/>
      <c r="AS102" s="137"/>
      <c r="AT102" s="65"/>
      <c r="AU102" s="136"/>
      <c r="AV102" s="136"/>
      <c r="AW102" s="135"/>
      <c r="AX102" s="68"/>
      <c r="AY102" s="65"/>
      <c r="AZ102" s="136"/>
      <c r="BA102" s="138"/>
      <c r="BB102" s="135"/>
      <c r="BC102" s="65"/>
      <c r="BD102" s="65"/>
      <c r="BE102" s="139"/>
      <c r="BF102" s="120"/>
      <c r="BG102" s="123"/>
      <c r="BH102" s="121"/>
      <c r="BI102" s="125"/>
      <c r="BJ102" s="139"/>
      <c r="BK102" s="125"/>
      <c r="BL102" s="140"/>
      <c r="BM102" s="125"/>
      <c r="BN102" s="125"/>
      <c r="BO102" s="139"/>
      <c r="BP102" s="125"/>
      <c r="BQ102" s="140"/>
      <c r="BR102" s="125"/>
      <c r="BS102" s="125"/>
      <c r="BT102" s="139"/>
      <c r="BU102" s="149"/>
      <c r="BV102" s="140"/>
      <c r="BW102" s="125"/>
      <c r="BX102" s="125"/>
      <c r="BY102" s="141"/>
      <c r="BZ102" s="142"/>
      <c r="CA102" s="64"/>
    </row>
    <row r="103" spans="1:79" x14ac:dyDescent="0.25">
      <c r="A103" s="115">
        <f t="shared" ref="A103:A104" si="43">IF(C103="","",A102+1)</f>
        <v>35</v>
      </c>
      <c r="B103" s="153" t="s">
        <v>326</v>
      </c>
      <c r="C103" s="118" t="s">
        <v>327</v>
      </c>
      <c r="D103" s="118" t="s">
        <v>183</v>
      </c>
      <c r="E103" s="118" t="s">
        <v>194</v>
      </c>
      <c r="F103" s="118" t="s">
        <v>180</v>
      </c>
      <c r="G103" s="117" t="str">
        <f t="shared" si="0"/>
        <v>Propcorn FlexCo_Data Labelling: Propcorn</v>
      </c>
      <c r="H103" s="119"/>
      <c r="I103" s="150"/>
      <c r="J103" s="145"/>
      <c r="K103" s="122"/>
      <c r="L103" s="146">
        <v>0</v>
      </c>
      <c r="M103" s="146"/>
      <c r="N103" s="145"/>
      <c r="O103" s="124">
        <v>31053000</v>
      </c>
      <c r="P103" s="125">
        <v>31053000</v>
      </c>
      <c r="Q103" s="125">
        <v>-31053000</v>
      </c>
      <c r="R103" s="125"/>
      <c r="S103" s="125"/>
      <c r="T103" s="125">
        <v>38044808</v>
      </c>
      <c r="U103" s="125"/>
      <c r="V103" s="125">
        <v>38044808</v>
      </c>
      <c r="W103" s="125"/>
      <c r="X103" s="125">
        <v>31053000</v>
      </c>
      <c r="Y103" s="126"/>
      <c r="Z103" s="127">
        <v>31053000</v>
      </c>
      <c r="AA103" s="128">
        <v>6991808</v>
      </c>
      <c r="AB103" s="129">
        <f t="shared" si="22"/>
        <v>6991808</v>
      </c>
      <c r="AC103" s="130"/>
      <c r="AD103" s="131" t="str">
        <f t="shared" si="2"/>
        <v>Data Labelling: Propcorn</v>
      </c>
      <c r="AE103" s="132"/>
      <c r="AF103" s="132"/>
      <c r="AG103" s="136"/>
      <c r="AH103" s="135"/>
      <c r="AI103" s="135"/>
      <c r="AJ103" s="65"/>
      <c r="AK103" s="136"/>
      <c r="AL103" s="162"/>
      <c r="AM103" s="135"/>
      <c r="AN103" s="137"/>
      <c r="AO103" s="65"/>
      <c r="AP103" s="136"/>
      <c r="AQ103" s="136"/>
      <c r="AR103" s="135"/>
      <c r="AS103" s="137"/>
      <c r="AT103" s="65"/>
      <c r="AU103" s="136"/>
      <c r="AV103" s="136"/>
      <c r="AW103" s="135"/>
      <c r="AX103" s="68"/>
      <c r="AY103" s="65"/>
      <c r="AZ103" s="136"/>
      <c r="BA103" s="138"/>
      <c r="BB103" s="135"/>
      <c r="BC103" s="65"/>
      <c r="BD103" s="65"/>
      <c r="BE103" s="139"/>
      <c r="BF103" s="120"/>
      <c r="BG103" s="123"/>
      <c r="BH103" s="121"/>
      <c r="BI103" s="125"/>
      <c r="BJ103" s="139"/>
      <c r="BK103" s="125"/>
      <c r="BL103" s="140"/>
      <c r="BM103" s="125"/>
      <c r="BN103" s="125"/>
      <c r="BO103" s="139"/>
      <c r="BP103" s="125"/>
      <c r="BQ103" s="140"/>
      <c r="BR103" s="125"/>
      <c r="BS103" s="125"/>
      <c r="BT103" s="139"/>
      <c r="BU103" s="149"/>
      <c r="BV103" s="140"/>
      <c r="BW103" s="125"/>
      <c r="BX103" s="125"/>
      <c r="BY103" s="141"/>
      <c r="BZ103" s="142"/>
      <c r="CA103" s="64"/>
    </row>
    <row r="104" spans="1:79" x14ac:dyDescent="0.25">
      <c r="A104" s="115">
        <f t="shared" si="43"/>
        <v>36</v>
      </c>
      <c r="B104" s="153" t="s">
        <v>328</v>
      </c>
      <c r="C104" s="118" t="s">
        <v>329</v>
      </c>
      <c r="D104" s="118" t="s">
        <v>178</v>
      </c>
      <c r="E104" s="118" t="s">
        <v>194</v>
      </c>
      <c r="F104" s="118" t="s">
        <v>191</v>
      </c>
      <c r="G104" s="117" t="str">
        <f t="shared" si="0"/>
        <v>MeAI_AI/AR/GPS</v>
      </c>
      <c r="H104" s="119"/>
      <c r="I104" s="144"/>
      <c r="J104" s="145">
        <v>87485100</v>
      </c>
      <c r="K104" s="122"/>
      <c r="L104" s="146">
        <v>87485100</v>
      </c>
      <c r="M104" s="147"/>
      <c r="N104" s="145">
        <v>41272500</v>
      </c>
      <c r="O104" s="124"/>
      <c r="P104" s="158">
        <v>41272500</v>
      </c>
      <c r="Q104" s="158">
        <v>46212600</v>
      </c>
      <c r="R104" s="159">
        <v>0.5282</v>
      </c>
      <c r="S104" s="158"/>
      <c r="T104" s="158"/>
      <c r="U104" s="158"/>
      <c r="V104" s="158">
        <v>0</v>
      </c>
      <c r="W104" s="158"/>
      <c r="X104" s="158"/>
      <c r="Y104" s="126"/>
      <c r="Z104" s="127">
        <v>0</v>
      </c>
      <c r="AA104" s="128">
        <v>0</v>
      </c>
      <c r="AB104" s="129">
        <f t="shared" si="22"/>
        <v>0</v>
      </c>
      <c r="AC104" s="130"/>
      <c r="AD104" s="131" t="str">
        <f t="shared" si="2"/>
        <v>AI/AR/GPS</v>
      </c>
      <c r="AE104" s="132"/>
      <c r="AF104" s="132"/>
      <c r="AG104" s="136"/>
      <c r="AH104" s="135"/>
      <c r="AI104" s="135"/>
      <c r="AJ104" s="65"/>
      <c r="AK104" s="136"/>
      <c r="AL104" s="162"/>
      <c r="AM104" s="135"/>
      <c r="AN104" s="137"/>
      <c r="AO104" s="65"/>
      <c r="AP104" s="136"/>
      <c r="AQ104" s="136"/>
      <c r="AR104" s="135"/>
      <c r="AS104" s="137"/>
      <c r="AT104" s="65"/>
      <c r="AU104" s="136"/>
      <c r="AV104" s="136"/>
      <c r="AW104" s="135"/>
      <c r="AX104" s="68"/>
      <c r="AY104" s="65"/>
      <c r="AZ104" s="136"/>
      <c r="BA104" s="138"/>
      <c r="BB104" s="135"/>
      <c r="BC104" s="65"/>
      <c r="BD104" s="65"/>
      <c r="BE104" s="139"/>
      <c r="BF104" s="120"/>
      <c r="BG104" s="123"/>
      <c r="BH104" s="121"/>
      <c r="BI104" s="125"/>
      <c r="BJ104" s="139"/>
      <c r="BK104" s="125"/>
      <c r="BL104" s="140"/>
      <c r="BM104" s="125"/>
      <c r="BN104" s="125"/>
      <c r="BO104" s="139"/>
      <c r="BP104" s="125"/>
      <c r="BQ104" s="140"/>
      <c r="BR104" s="125"/>
      <c r="BS104" s="125"/>
      <c r="BT104" s="139"/>
      <c r="BU104" s="149"/>
      <c r="BV104" s="140"/>
      <c r="BW104" s="125"/>
      <c r="BX104" s="125"/>
      <c r="BY104" s="141"/>
      <c r="BZ104" s="142"/>
      <c r="CA104" s="64"/>
    </row>
    <row r="105" spans="1:79" x14ac:dyDescent="0.25">
      <c r="A105" s="115">
        <v>35</v>
      </c>
      <c r="B105" s="153" t="s">
        <v>330</v>
      </c>
      <c r="C105" s="118" t="s">
        <v>331</v>
      </c>
      <c r="D105" s="118" t="s">
        <v>178</v>
      </c>
      <c r="E105" s="118" t="s">
        <v>194</v>
      </c>
      <c r="F105" s="118" t="s">
        <v>191</v>
      </c>
      <c r="G105" s="117" t="str">
        <f t="shared" si="0"/>
        <v>NHH_Ton Dev- Game onchain features</v>
      </c>
      <c r="H105" s="119"/>
      <c r="I105" s="144"/>
      <c r="J105" s="145">
        <v>56608550</v>
      </c>
      <c r="K105" s="122"/>
      <c r="L105" s="146">
        <v>56608550</v>
      </c>
      <c r="M105" s="146"/>
      <c r="N105" s="145">
        <v>52935400</v>
      </c>
      <c r="O105" s="124"/>
      <c r="P105" s="158">
        <v>52935400</v>
      </c>
      <c r="Q105" s="158">
        <v>3673150</v>
      </c>
      <c r="R105" s="159">
        <v>0.0649</v>
      </c>
      <c r="S105" s="158"/>
      <c r="T105" s="158"/>
      <c r="U105" s="158"/>
      <c r="V105" s="158">
        <v>0</v>
      </c>
      <c r="W105" s="158"/>
      <c r="X105" s="158"/>
      <c r="Y105" s="126"/>
      <c r="Z105" s="127">
        <v>0</v>
      </c>
      <c r="AA105" s="128">
        <v>0</v>
      </c>
      <c r="AB105" s="129">
        <f t="shared" si="22"/>
        <v>0</v>
      </c>
      <c r="AC105" s="130"/>
      <c r="AD105" s="131" t="str">
        <f t="shared" si="2"/>
        <v>Ton Dev- Game onchain features</v>
      </c>
      <c r="AE105" s="132"/>
      <c r="AF105" s="132"/>
      <c r="AG105" s="136"/>
      <c r="AH105" s="135"/>
      <c r="AI105" s="135"/>
      <c r="AJ105" s="65"/>
      <c r="AK105" s="136"/>
      <c r="AL105" s="162"/>
      <c r="AM105" s="135"/>
      <c r="AN105" s="137"/>
      <c r="AO105" s="65"/>
      <c r="AP105" s="136"/>
      <c r="AQ105" s="136"/>
      <c r="AR105" s="135"/>
      <c r="AS105" s="137"/>
      <c r="AT105" s="65"/>
      <c r="AU105" s="136"/>
      <c r="AV105" s="136"/>
      <c r="AW105" s="135"/>
      <c r="AX105" s="68"/>
      <c r="AY105" s="65"/>
      <c r="AZ105" s="136"/>
      <c r="BA105" s="138"/>
      <c r="BB105" s="135"/>
      <c r="BC105" s="65"/>
      <c r="BD105" s="65"/>
      <c r="BE105" s="139"/>
      <c r="BF105" s="120"/>
      <c r="BG105" s="123"/>
      <c r="BH105" s="121"/>
      <c r="BI105" s="125"/>
      <c r="BJ105" s="139"/>
      <c r="BK105" s="125"/>
      <c r="BL105" s="140"/>
      <c r="BM105" s="125"/>
      <c r="BN105" s="125"/>
      <c r="BO105" s="139"/>
      <c r="BP105" s="125"/>
      <c r="BQ105" s="140"/>
      <c r="BR105" s="125"/>
      <c r="BS105" s="125"/>
      <c r="BT105" s="139"/>
      <c r="BU105" s="149"/>
      <c r="BV105" s="140"/>
      <c r="BW105" s="125"/>
      <c r="BX105" s="125"/>
      <c r="BY105" s="141"/>
      <c r="BZ105" s="142"/>
      <c r="CA105" s="64"/>
    </row>
    <row r="106" spans="1:79" x14ac:dyDescent="0.25">
      <c r="A106" s="115">
        <f t="shared" ref="A106:A107" si="44">IF(C106="","",A105+1)</f>
        <v>36</v>
      </c>
      <c r="B106" s="153" t="s">
        <v>332</v>
      </c>
      <c r="C106" s="118" t="s">
        <v>333</v>
      </c>
      <c r="D106" s="118" t="s">
        <v>183</v>
      </c>
      <c r="E106" s="118" t="s">
        <v>179</v>
      </c>
      <c r="F106" s="118" t="s">
        <v>180</v>
      </c>
      <c r="G106" s="117"/>
      <c r="H106" s="119"/>
      <c r="I106" s="150"/>
      <c r="J106" s="145"/>
      <c r="K106" s="122"/>
      <c r="L106" s="146">
        <v>0</v>
      </c>
      <c r="M106" s="146"/>
      <c r="N106" s="145"/>
      <c r="O106" s="124"/>
      <c r="P106" s="125">
        <v>0</v>
      </c>
      <c r="Q106" s="125">
        <v>0</v>
      </c>
      <c r="R106" s="125"/>
      <c r="S106" s="125"/>
      <c r="T106" s="125">
        <v>44880000</v>
      </c>
      <c r="U106" s="125"/>
      <c r="V106" s="125">
        <v>44880000</v>
      </c>
      <c r="W106" s="125">
        <v>89760000</v>
      </c>
      <c r="X106" s="125">
        <v>19760870</v>
      </c>
      <c r="Y106" s="126"/>
      <c r="Z106" s="127">
        <v>109520870</v>
      </c>
      <c r="AA106" s="128">
        <v>-64640870</v>
      </c>
      <c r="AB106" s="129">
        <f t="shared" si="22"/>
        <v>-64640870</v>
      </c>
      <c r="AC106" s="130"/>
      <c r="AD106" s="131" t="str">
        <f t="shared" si="2"/>
        <v>React Native Developer</v>
      </c>
      <c r="AE106" s="132"/>
      <c r="AF106" s="132"/>
      <c r="AG106" s="136"/>
      <c r="AH106" s="135"/>
      <c r="AI106" s="135"/>
      <c r="AJ106" s="65"/>
      <c r="AK106" s="136"/>
      <c r="AL106" s="162"/>
      <c r="AM106" s="135"/>
      <c r="AN106" s="137"/>
      <c r="AO106" s="65"/>
      <c r="AP106" s="136"/>
      <c r="AQ106" s="136"/>
      <c r="AR106" s="135"/>
      <c r="AS106" s="137"/>
      <c r="AT106" s="65"/>
      <c r="AU106" s="136"/>
      <c r="AV106" s="136"/>
      <c r="AW106" s="135"/>
      <c r="AX106" s="68"/>
      <c r="AY106" s="65"/>
      <c r="AZ106" s="136"/>
      <c r="BA106" s="138"/>
      <c r="BB106" s="135"/>
      <c r="BC106" s="65"/>
      <c r="BD106" s="65"/>
      <c r="BE106" s="139"/>
      <c r="BF106" s="120"/>
      <c r="BG106" s="123"/>
      <c r="BH106" s="121"/>
      <c r="BI106" s="125"/>
      <c r="BJ106" s="139"/>
      <c r="BK106" s="125"/>
      <c r="BL106" s="140"/>
      <c r="BM106" s="125"/>
      <c r="BN106" s="125"/>
      <c r="BO106" s="139"/>
      <c r="BP106" s="125"/>
      <c r="BQ106" s="140"/>
      <c r="BR106" s="125"/>
      <c r="BS106" s="125"/>
      <c r="BT106" s="139"/>
      <c r="BU106" s="149"/>
      <c r="BV106" s="140"/>
      <c r="BW106" s="125"/>
      <c r="BX106" s="125"/>
      <c r="BY106" s="141"/>
      <c r="BZ106" s="142"/>
      <c r="CA106" s="64"/>
    </row>
    <row r="107" spans="1:79" x14ac:dyDescent="0.25">
      <c r="A107" s="115">
        <f t="shared" si="44"/>
        <v>37</v>
      </c>
      <c r="B107" s="153" t="s">
        <v>304</v>
      </c>
      <c r="C107" s="118" t="s">
        <v>334</v>
      </c>
      <c r="D107" s="118" t="s">
        <v>178</v>
      </c>
      <c r="E107" s="118" t="s">
        <v>194</v>
      </c>
      <c r="F107" s="118" t="s">
        <v>191</v>
      </c>
      <c r="G107" s="117"/>
      <c r="H107" s="119"/>
      <c r="I107" s="144">
        <v>26904838</v>
      </c>
      <c r="J107" s="167"/>
      <c r="K107" s="122">
        <v>26939851</v>
      </c>
      <c r="L107" s="147">
        <v>53844689</v>
      </c>
      <c r="M107" s="146">
        <v>0</v>
      </c>
      <c r="N107" s="145"/>
      <c r="O107" s="124"/>
      <c r="P107" s="158">
        <v>0</v>
      </c>
      <c r="Q107" s="158">
        <v>53844689</v>
      </c>
      <c r="R107" s="159">
        <v>1</v>
      </c>
      <c r="S107" s="158"/>
      <c r="T107" s="158"/>
      <c r="U107" s="158"/>
      <c r="V107" s="158">
        <v>0</v>
      </c>
      <c r="W107" s="158"/>
      <c r="X107" s="158"/>
      <c r="Y107" s="126"/>
      <c r="Z107" s="127">
        <v>0</v>
      </c>
      <c r="AA107" s="128">
        <v>0</v>
      </c>
      <c r="AB107" s="129">
        <f t="shared" si="22"/>
        <v>0</v>
      </c>
      <c r="AC107" s="130"/>
      <c r="AD107" s="131" t="str">
        <f t="shared" si="2"/>
        <v>Bot scaling</v>
      </c>
      <c r="AE107" s="132"/>
      <c r="AF107" s="132"/>
      <c r="AG107" s="136"/>
      <c r="AH107" s="135"/>
      <c r="AI107" s="135"/>
      <c r="AJ107" s="65"/>
      <c r="AK107" s="136"/>
      <c r="AL107" s="162"/>
      <c r="AM107" s="135"/>
      <c r="AN107" s="137"/>
      <c r="AO107" s="65"/>
      <c r="AP107" s="136"/>
      <c r="AQ107" s="136"/>
      <c r="AR107" s="135"/>
      <c r="AS107" s="137"/>
      <c r="AT107" s="65"/>
      <c r="AU107" s="136"/>
      <c r="AV107" s="136"/>
      <c r="AW107" s="135"/>
      <c r="AX107" s="68"/>
      <c r="AY107" s="65"/>
      <c r="AZ107" s="136"/>
      <c r="BA107" s="138"/>
      <c r="BB107" s="135"/>
      <c r="BC107" s="65"/>
      <c r="BD107" s="65"/>
      <c r="BE107" s="139"/>
      <c r="BF107" s="120"/>
      <c r="BG107" s="123"/>
      <c r="BH107" s="121"/>
      <c r="BI107" s="125"/>
      <c r="BJ107" s="139"/>
      <c r="BK107" s="125"/>
      <c r="BL107" s="140"/>
      <c r="BM107" s="125"/>
      <c r="BN107" s="125"/>
      <c r="BO107" s="139"/>
      <c r="BP107" s="125"/>
      <c r="BQ107" s="140"/>
      <c r="BR107" s="125"/>
      <c r="BS107" s="125"/>
      <c r="BT107" s="139"/>
      <c r="BU107" s="149"/>
      <c r="BV107" s="140"/>
      <c r="BW107" s="125"/>
      <c r="BX107" s="125"/>
      <c r="BY107" s="141"/>
      <c r="BZ107" s="142"/>
      <c r="CA107" s="64"/>
    </row>
    <row r="108" spans="1:79" x14ac:dyDescent="0.25">
      <c r="A108" s="115">
        <v>36</v>
      </c>
      <c r="B108" s="153" t="s">
        <v>335</v>
      </c>
      <c r="C108" s="118" t="s">
        <v>336</v>
      </c>
      <c r="D108" s="118" t="s">
        <v>183</v>
      </c>
      <c r="E108" s="118" t="s">
        <v>194</v>
      </c>
      <c r="F108" s="118" t="s">
        <v>191</v>
      </c>
      <c r="G108" s="117"/>
      <c r="H108" s="119"/>
      <c r="I108" s="150"/>
      <c r="J108" s="167"/>
      <c r="K108" s="122">
        <v>200775058</v>
      </c>
      <c r="L108" s="146">
        <v>200775058</v>
      </c>
      <c r="M108" s="147">
        <v>18494294</v>
      </c>
      <c r="N108" s="145"/>
      <c r="O108" s="124"/>
      <c r="P108" s="158">
        <v>18494294</v>
      </c>
      <c r="Q108" s="158">
        <v>182280764</v>
      </c>
      <c r="R108" s="159">
        <v>0.9079</v>
      </c>
      <c r="S108" s="158">
        <v>200530220</v>
      </c>
      <c r="T108" s="158"/>
      <c r="U108" s="158"/>
      <c r="V108" s="158">
        <v>200530220</v>
      </c>
      <c r="W108" s="158">
        <v>0</v>
      </c>
      <c r="X108" s="158"/>
      <c r="Y108" s="126"/>
      <c r="Z108" s="127">
        <v>0</v>
      </c>
      <c r="AA108" s="128">
        <v>200530220</v>
      </c>
      <c r="AB108" s="129">
        <f t="shared" si="22"/>
        <v>200530220</v>
      </c>
      <c r="AC108" s="130"/>
      <c r="AD108" s="131"/>
      <c r="AE108" s="132"/>
      <c r="AF108" s="132"/>
      <c r="AG108" s="136"/>
      <c r="AH108" s="135"/>
      <c r="AI108" s="135"/>
      <c r="AJ108" s="65"/>
      <c r="AK108" s="136"/>
      <c r="AL108" s="162"/>
      <c r="AM108" s="135"/>
      <c r="AN108" s="137"/>
      <c r="AO108" s="65"/>
      <c r="AP108" s="136"/>
      <c r="AQ108" s="136"/>
      <c r="AR108" s="135"/>
      <c r="AS108" s="137"/>
      <c r="AT108" s="65"/>
      <c r="AU108" s="136"/>
      <c r="AV108" s="136"/>
      <c r="AW108" s="135"/>
      <c r="AX108" s="68"/>
      <c r="AY108" s="65"/>
      <c r="AZ108" s="136"/>
      <c r="BA108" s="138"/>
      <c r="BB108" s="135"/>
      <c r="BC108" s="65"/>
      <c r="BD108" s="65"/>
      <c r="BE108" s="139"/>
      <c r="BF108" s="120"/>
      <c r="BG108" s="123"/>
      <c r="BH108" s="121"/>
      <c r="BI108" s="125"/>
      <c r="BJ108" s="139"/>
      <c r="BK108" s="125"/>
      <c r="BL108" s="140"/>
      <c r="BM108" s="125"/>
      <c r="BN108" s="125"/>
      <c r="BO108" s="139"/>
      <c r="BP108" s="125"/>
      <c r="BQ108" s="140"/>
      <c r="BR108" s="125"/>
      <c r="BS108" s="125"/>
      <c r="BT108" s="139"/>
      <c r="BU108" s="149"/>
      <c r="BV108" s="140"/>
      <c r="BW108" s="125"/>
      <c r="BX108" s="125"/>
      <c r="BY108" s="141"/>
      <c r="BZ108" s="142"/>
      <c r="CA108" s="64"/>
    </row>
    <row r="109" spans="1:79" x14ac:dyDescent="0.25">
      <c r="A109" s="115">
        <f t="shared" ref="A109:A110" si="45">IF(C109="","",A108+1)</f>
        <v>37</v>
      </c>
      <c r="B109" s="153" t="s">
        <v>337</v>
      </c>
      <c r="C109" s="118" t="s">
        <v>338</v>
      </c>
      <c r="D109" s="118" t="s">
        <v>183</v>
      </c>
      <c r="E109" s="118" t="s">
        <v>194</v>
      </c>
      <c r="F109" s="118" t="s">
        <v>180</v>
      </c>
      <c r="G109" s="117"/>
      <c r="H109" s="119"/>
      <c r="I109" s="150"/>
      <c r="J109" s="167"/>
      <c r="K109" s="122">
        <v>30000000</v>
      </c>
      <c r="L109" s="146">
        <v>30000000</v>
      </c>
      <c r="M109" s="147">
        <v>5314617</v>
      </c>
      <c r="N109" s="145"/>
      <c r="O109" s="124"/>
      <c r="P109" s="158">
        <v>5314617</v>
      </c>
      <c r="Q109" s="158">
        <v>24685383</v>
      </c>
      <c r="R109" s="159">
        <v>0.8228</v>
      </c>
      <c r="S109" s="158"/>
      <c r="T109" s="158"/>
      <c r="U109" s="158"/>
      <c r="V109" s="158">
        <v>0</v>
      </c>
      <c r="W109" s="158"/>
      <c r="X109" s="158"/>
      <c r="Y109" s="126"/>
      <c r="Z109" s="127">
        <v>0</v>
      </c>
      <c r="AA109" s="128">
        <v>0</v>
      </c>
      <c r="AB109" s="129">
        <f t="shared" si="22"/>
        <v>0</v>
      </c>
      <c r="AC109" s="130"/>
      <c r="AD109" s="131"/>
      <c r="AE109" s="132"/>
      <c r="AF109" s="132"/>
      <c r="AG109" s="136"/>
      <c r="AH109" s="135"/>
      <c r="AI109" s="135"/>
      <c r="AJ109" s="65"/>
      <c r="AK109" s="136"/>
      <c r="AL109" s="162"/>
      <c r="AM109" s="135"/>
      <c r="AN109" s="137"/>
      <c r="AO109" s="65"/>
      <c r="AP109" s="136"/>
      <c r="AQ109" s="136"/>
      <c r="AR109" s="135"/>
      <c r="AS109" s="137"/>
      <c r="AT109" s="65"/>
      <c r="AU109" s="136"/>
      <c r="AV109" s="136"/>
      <c r="AW109" s="135"/>
      <c r="AX109" s="68"/>
      <c r="AY109" s="65"/>
      <c r="AZ109" s="136"/>
      <c r="BA109" s="138"/>
      <c r="BB109" s="135"/>
      <c r="BC109" s="65"/>
      <c r="BD109" s="65"/>
      <c r="BE109" s="139"/>
      <c r="BF109" s="120"/>
      <c r="BG109" s="123"/>
      <c r="BH109" s="121"/>
      <c r="BI109" s="125"/>
      <c r="BJ109" s="139"/>
      <c r="BK109" s="125"/>
      <c r="BL109" s="140"/>
      <c r="BM109" s="125"/>
      <c r="BN109" s="125"/>
      <c r="BO109" s="139"/>
      <c r="BP109" s="125"/>
      <c r="BQ109" s="140"/>
      <c r="BR109" s="125"/>
      <c r="BS109" s="125"/>
      <c r="BT109" s="139"/>
      <c r="BU109" s="149"/>
      <c r="BV109" s="140"/>
      <c r="BW109" s="125"/>
      <c r="BX109" s="125"/>
      <c r="BY109" s="141"/>
      <c r="BZ109" s="142"/>
      <c r="CA109" s="64"/>
    </row>
    <row r="110" spans="1:79" x14ac:dyDescent="0.25">
      <c r="A110" s="115">
        <f t="shared" si="45"/>
        <v>38</v>
      </c>
      <c r="B110" s="153" t="s">
        <v>269</v>
      </c>
      <c r="C110" s="118" t="s">
        <v>339</v>
      </c>
      <c r="D110" s="118" t="s">
        <v>183</v>
      </c>
      <c r="E110" s="118" t="s">
        <v>194</v>
      </c>
      <c r="F110" s="118" t="s">
        <v>191</v>
      </c>
      <c r="G110" s="117"/>
      <c r="H110" s="119"/>
      <c r="I110" s="150"/>
      <c r="J110" s="167"/>
      <c r="K110" s="122">
        <v>131110044</v>
      </c>
      <c r="L110" s="146">
        <v>131110044</v>
      </c>
      <c r="M110" s="147">
        <v>26224232</v>
      </c>
      <c r="N110" s="145"/>
      <c r="O110" s="124"/>
      <c r="P110" s="158">
        <v>26224232</v>
      </c>
      <c r="Q110" s="158">
        <v>104885812</v>
      </c>
      <c r="R110" s="158"/>
      <c r="S110" s="158">
        <v>131424865</v>
      </c>
      <c r="T110" s="158"/>
      <c r="U110" s="158"/>
      <c r="V110" s="158">
        <v>131424865</v>
      </c>
      <c r="W110" s="158"/>
      <c r="X110" s="158"/>
      <c r="Y110" s="126"/>
      <c r="Z110" s="127">
        <v>0</v>
      </c>
      <c r="AA110" s="128">
        <v>131424865</v>
      </c>
      <c r="AB110" s="129">
        <f t="shared" si="22"/>
        <v>131424865</v>
      </c>
      <c r="AC110" s="130"/>
      <c r="AD110" s="131"/>
      <c r="AE110" s="132"/>
      <c r="AF110" s="132"/>
      <c r="AG110" s="136"/>
      <c r="AH110" s="135"/>
      <c r="AI110" s="135"/>
      <c r="AJ110" s="65"/>
      <c r="AK110" s="136"/>
      <c r="AL110" s="162"/>
      <c r="AM110" s="135"/>
      <c r="AN110" s="137"/>
      <c r="AO110" s="65"/>
      <c r="AP110" s="136"/>
      <c r="AQ110" s="136"/>
      <c r="AR110" s="135"/>
      <c r="AS110" s="137"/>
      <c r="AT110" s="65"/>
      <c r="AU110" s="136"/>
      <c r="AV110" s="136"/>
      <c r="AW110" s="135"/>
      <c r="AX110" s="68"/>
      <c r="AY110" s="65"/>
      <c r="AZ110" s="136"/>
      <c r="BA110" s="138"/>
      <c r="BB110" s="135"/>
      <c r="BC110" s="65"/>
      <c r="BD110" s="65"/>
      <c r="BE110" s="139"/>
      <c r="BF110" s="120"/>
      <c r="BG110" s="123"/>
      <c r="BH110" s="121"/>
      <c r="BI110" s="125"/>
      <c r="BJ110" s="139"/>
      <c r="BK110" s="125"/>
      <c r="BL110" s="140"/>
      <c r="BM110" s="125"/>
      <c r="BN110" s="125"/>
      <c r="BO110" s="139"/>
      <c r="BP110" s="125"/>
      <c r="BQ110" s="140"/>
      <c r="BR110" s="125"/>
      <c r="BS110" s="125"/>
      <c r="BT110" s="139"/>
      <c r="BU110" s="149"/>
      <c r="BV110" s="140"/>
      <c r="BW110" s="125"/>
      <c r="BX110" s="125"/>
      <c r="BY110" s="141"/>
      <c r="BZ110" s="142"/>
      <c r="CA110" s="64"/>
    </row>
    <row r="111" ht="12.75" customHeight="1" spans="1:79" x14ac:dyDescent="0.25">
      <c r="A111" s="115">
        <v>37</v>
      </c>
      <c r="B111" s="153" t="s">
        <v>218</v>
      </c>
      <c r="C111" s="118" t="s">
        <v>340</v>
      </c>
      <c r="D111" s="118" t="s">
        <v>183</v>
      </c>
      <c r="E111" s="121" t="s">
        <v>194</v>
      </c>
      <c r="F111" s="121" t="s">
        <v>180</v>
      </c>
      <c r="G111" s="168"/>
      <c r="H111" s="119"/>
      <c r="I111" s="150"/>
      <c r="J111" s="145"/>
      <c r="K111" s="122"/>
      <c r="L111" s="146">
        <v>0</v>
      </c>
      <c r="M111" s="146"/>
      <c r="N111" s="145"/>
      <c r="O111" s="124"/>
      <c r="P111" s="125">
        <v>0</v>
      </c>
      <c r="Q111" s="125">
        <v>0</v>
      </c>
      <c r="R111" s="125"/>
      <c r="S111" s="125"/>
      <c r="T111" s="125">
        <v>23261000</v>
      </c>
      <c r="U111" s="125"/>
      <c r="V111" s="125">
        <v>23261000</v>
      </c>
      <c r="W111" s="125"/>
      <c r="X111" s="125">
        <v>19190000</v>
      </c>
      <c r="Y111" s="126"/>
      <c r="Z111" s="127">
        <v>19190000</v>
      </c>
      <c r="AA111" s="128">
        <v>4071000</v>
      </c>
      <c r="AB111" s="129">
        <f t="shared" si="22"/>
        <v>4071000</v>
      </c>
      <c r="AC111" s="130"/>
      <c r="AD111" s="168"/>
      <c r="AE111" s="132"/>
      <c r="AF111" s="132"/>
      <c r="AG111" s="169">
        <f t="shared" ref="AG111:BI111" si="46">SUM(AG3:AG84)</f>
        <v>0</v>
      </c>
      <c r="AH111" s="170">
        <f t="shared" si="46"/>
        <v>0</v>
      </c>
      <c r="AI111" s="169">
        <f t="shared" si="46"/>
        <v>0</v>
      </c>
      <c r="AJ111" s="169">
        <f t="shared" si="46"/>
        <v>0</v>
      </c>
      <c r="AK111" s="169">
        <f t="shared" si="46"/>
        <v>0</v>
      </c>
      <c r="AL111" s="169">
        <f t="shared" si="46"/>
        <v>0</v>
      </c>
      <c r="AM111" s="170">
        <f t="shared" si="46"/>
        <v>0</v>
      </c>
      <c r="AN111" s="169">
        <f t="shared" si="46"/>
        <v>0</v>
      </c>
      <c r="AO111" s="169">
        <f t="shared" si="46"/>
        <v>0</v>
      </c>
      <c r="AP111" s="169">
        <f t="shared" si="46"/>
        <v>0</v>
      </c>
      <c r="AQ111" s="169">
        <f t="shared" si="46"/>
        <v>0</v>
      </c>
      <c r="AR111" s="170">
        <f t="shared" si="46"/>
        <v>0</v>
      </c>
      <c r="AS111" s="169">
        <f t="shared" si="46"/>
        <v>0</v>
      </c>
      <c r="AT111" s="169">
        <f t="shared" si="46"/>
        <v>0</v>
      </c>
      <c r="AU111" s="169">
        <f t="shared" si="46"/>
        <v>0</v>
      </c>
      <c r="AV111" s="169">
        <f t="shared" si="46"/>
        <v>0</v>
      </c>
      <c r="AW111" s="170">
        <f t="shared" si="46"/>
        <v>0</v>
      </c>
      <c r="AX111" s="169">
        <f t="shared" si="46"/>
        <v>0</v>
      </c>
      <c r="AY111" s="169">
        <f t="shared" si="46"/>
        <v>0</v>
      </c>
      <c r="AZ111" s="169">
        <f t="shared" si="46"/>
        <v>0</v>
      </c>
      <c r="BA111" s="169">
        <f t="shared" si="46"/>
        <v>0</v>
      </c>
      <c r="BB111" s="170">
        <f t="shared" si="46"/>
        <v>0</v>
      </c>
      <c r="BC111" s="169">
        <f t="shared" si="46"/>
        <v>0</v>
      </c>
      <c r="BD111" s="169">
        <f t="shared" si="46"/>
        <v>0</v>
      </c>
      <c r="BE111" s="169">
        <f t="shared" si="46"/>
        <v>0</v>
      </c>
      <c r="BF111" s="169">
        <f t="shared" si="46"/>
        <v>0</v>
      </c>
      <c r="BG111" s="170">
        <f t="shared" si="46"/>
        <v>0</v>
      </c>
      <c r="BH111" s="169">
        <f t="shared" si="46"/>
        <v>0</v>
      </c>
      <c r="BI111" s="169">
        <f t="shared" si="46"/>
        <v>0</v>
      </c>
      <c r="BJ111" s="169">
        <f t="shared" ref="BJ111:BN111" si="47">SUM(BJ3:BJ85)</f>
        <v>0</v>
      </c>
      <c r="BK111" s="169">
        <f t="shared" si="47"/>
        <v>0</v>
      </c>
      <c r="BL111" s="170">
        <f t="shared" si="47"/>
        <v>0</v>
      </c>
      <c r="BM111" s="169">
        <f t="shared" si="47"/>
        <v>0</v>
      </c>
      <c r="BN111" s="169">
        <f t="shared" si="47"/>
        <v>0</v>
      </c>
      <c r="BO111" s="169">
        <f t="shared" ref="BO111:BS111" si="48">SUM(BO3:BO97)</f>
        <v>0</v>
      </c>
      <c r="BP111" s="171">
        <f t="shared" si="48"/>
        <v>0</v>
      </c>
      <c r="BQ111" s="170">
        <f t="shared" si="48"/>
        <v>0</v>
      </c>
      <c r="BR111" s="169">
        <f t="shared" si="48"/>
        <v>0</v>
      </c>
      <c r="BS111" s="169">
        <f t="shared" si="48"/>
        <v>0</v>
      </c>
      <c r="BT111" s="169">
        <f t="shared" ref="BT111:BX111" si="49">SUM(BT3:BT105)</f>
        <v>0</v>
      </c>
      <c r="BU111" s="171">
        <f t="shared" si="49"/>
        <v>0</v>
      </c>
      <c r="BV111" s="170">
        <f t="shared" si="49"/>
        <v>0</v>
      </c>
      <c r="BW111" s="169">
        <f t="shared" si="49"/>
        <v>0</v>
      </c>
      <c r="BX111" s="169">
        <f t="shared" si="49"/>
        <v>0</v>
      </c>
      <c r="BY111" s="169" t="e">
        <f>SUM(BY3:BY78)</f>
        <v>#VALUE!</v>
      </c>
      <c r="BZ111" s="172"/>
      <c r="CA111" s="172"/>
    </row>
    <row r="112" ht="12.75" customHeight="1" spans="1:42" x14ac:dyDescent="0.25">
      <c r="A112" s="115">
        <f t="shared" ref="A112:A113" si="50">IF(C112="","",A111+1)</f>
        <v>38</v>
      </c>
      <c r="B112" s="153" t="s">
        <v>243</v>
      </c>
      <c r="C112" s="118" t="s">
        <v>341</v>
      </c>
      <c r="D112" s="118" t="s">
        <v>183</v>
      </c>
      <c r="E112" s="118" t="s">
        <v>194</v>
      </c>
      <c r="F112" s="118" t="s">
        <v>191</v>
      </c>
      <c r="G112" s="117"/>
      <c r="H112" s="119"/>
      <c r="I112" s="144">
        <v>165015500</v>
      </c>
      <c r="J112" s="145"/>
      <c r="K112" s="122"/>
      <c r="L112" s="146">
        <v>165015500</v>
      </c>
      <c r="M112" s="147"/>
      <c r="N112" s="145">
        <v>0</v>
      </c>
      <c r="O112" s="124"/>
      <c r="P112" s="158">
        <v>0</v>
      </c>
      <c r="Q112" s="158">
        <v>165015500</v>
      </c>
      <c r="R112" s="159">
        <v>1</v>
      </c>
      <c r="S112" s="158"/>
      <c r="T112" s="158"/>
      <c r="U112" s="158"/>
      <c r="V112" s="158">
        <v>0</v>
      </c>
      <c r="W112" s="158"/>
      <c r="X112" s="158"/>
      <c r="Y112" s="126"/>
      <c r="Z112" s="127">
        <v>0</v>
      </c>
      <c r="AA112" s="128">
        <v>0</v>
      </c>
      <c r="AB112" s="129">
        <f t="shared" si="22"/>
        <v>0</v>
      </c>
      <c r="AC112" s="130"/>
      <c r="AD112" s="131"/>
      <c r="AE112" s="132"/>
      <c r="AF112" s="132"/>
      <c r="AP112" s="34"/>
    </row>
    <row r="113" ht="12.75" customHeight="1" spans="1:42" x14ac:dyDescent="0.25">
      <c r="A113" s="115">
        <f t="shared" si="50"/>
        <v>39</v>
      </c>
      <c r="B113" s="153" t="s">
        <v>304</v>
      </c>
      <c r="C113" s="118" t="s">
        <v>342</v>
      </c>
      <c r="D113" s="118" t="s">
        <v>183</v>
      </c>
      <c r="E113" s="118" t="s">
        <v>194</v>
      </c>
      <c r="F113" s="118" t="s">
        <v>191</v>
      </c>
      <c r="G113" s="117"/>
      <c r="H113" s="119"/>
      <c r="I113" s="150"/>
      <c r="J113" s="167"/>
      <c r="K113" s="122">
        <v>196942907</v>
      </c>
      <c r="L113" s="146">
        <v>196942907</v>
      </c>
      <c r="M113" s="147">
        <v>24114372</v>
      </c>
      <c r="N113" s="145"/>
      <c r="O113" s="124"/>
      <c r="P113" s="158">
        <v>24114372</v>
      </c>
      <c r="Q113" s="158">
        <v>172828535</v>
      </c>
      <c r="R113" s="159">
        <v>0.8776</v>
      </c>
      <c r="S113" s="158"/>
      <c r="T113" s="158"/>
      <c r="U113" s="158"/>
      <c r="V113" s="158">
        <v>0</v>
      </c>
      <c r="W113" s="158"/>
      <c r="X113" s="158"/>
      <c r="Y113" s="126"/>
      <c r="Z113" s="127">
        <v>0</v>
      </c>
      <c r="AA113" s="128">
        <v>0</v>
      </c>
      <c r="AB113" s="129">
        <f t="shared" si="22"/>
        <v>0</v>
      </c>
      <c r="AC113" s="130"/>
      <c r="AD113" s="131"/>
      <c r="AE113" s="132"/>
      <c r="AF113" s="132"/>
      <c r="AL113" s="34"/>
      <c r="AP113" s="34"/>
    </row>
    <row r="114" ht="12.75" customHeight="1" spans="1:32" x14ac:dyDescent="0.25">
      <c r="A114" s="115">
        <v>38</v>
      </c>
      <c r="B114" s="153" t="s">
        <v>303</v>
      </c>
      <c r="C114" s="121" t="s">
        <v>343</v>
      </c>
      <c r="D114" s="130" t="s">
        <v>183</v>
      </c>
      <c r="E114" s="118" t="s">
        <v>194</v>
      </c>
      <c r="F114" s="118" t="s">
        <v>191</v>
      </c>
      <c r="G114" s="117"/>
      <c r="H114" s="119"/>
      <c r="I114" s="150">
        <v>20072000</v>
      </c>
      <c r="J114" s="167"/>
      <c r="K114" s="122">
        <v>20286400</v>
      </c>
      <c r="L114" s="146">
        <v>40358400</v>
      </c>
      <c r="M114" s="147">
        <v>11827054</v>
      </c>
      <c r="N114" s="145"/>
      <c r="O114" s="124"/>
      <c r="P114" s="158">
        <v>11827054</v>
      </c>
      <c r="Q114" s="158">
        <v>28531346</v>
      </c>
      <c r="R114" s="159">
        <v>0.7069</v>
      </c>
      <c r="S114" s="158"/>
      <c r="T114" s="158"/>
      <c r="U114" s="158"/>
      <c r="V114" s="158">
        <v>0</v>
      </c>
      <c r="W114" s="158"/>
      <c r="X114" s="158"/>
      <c r="Y114" s="126"/>
      <c r="Z114" s="127">
        <v>0</v>
      </c>
      <c r="AA114" s="128">
        <v>0</v>
      </c>
      <c r="AB114" s="129">
        <f t="shared" si="22"/>
        <v>0</v>
      </c>
      <c r="AC114" s="130"/>
      <c r="AD114" s="131"/>
      <c r="AE114" s="132"/>
      <c r="AF114" s="132"/>
    </row>
    <row r="115" ht="12.75" customHeight="1" spans="1:32" x14ac:dyDescent="0.25">
      <c r="A115" s="115">
        <f t="shared" ref="A115:A116" si="51">IF(C115="","",A114+1)</f>
        <v>39</v>
      </c>
      <c r="B115" s="153" t="s">
        <v>181</v>
      </c>
      <c r="C115" s="121" t="s">
        <v>344</v>
      </c>
      <c r="D115" s="130" t="s">
        <v>183</v>
      </c>
      <c r="E115" s="118" t="s">
        <v>179</v>
      </c>
      <c r="F115" s="118" t="s">
        <v>180</v>
      </c>
      <c r="G115" s="117"/>
      <c r="H115" s="119"/>
      <c r="I115" s="150"/>
      <c r="J115" s="167"/>
      <c r="K115" s="122">
        <v>33952500</v>
      </c>
      <c r="L115" s="146">
        <v>33952500</v>
      </c>
      <c r="M115" s="146"/>
      <c r="N115" s="145"/>
      <c r="O115" s="124"/>
      <c r="P115" s="158">
        <v>0</v>
      </c>
      <c r="Q115" s="158">
        <v>33952500</v>
      </c>
      <c r="R115" s="159">
        <v>1</v>
      </c>
      <c r="S115" s="158"/>
      <c r="T115" s="158">
        <v>29735216</v>
      </c>
      <c r="U115" s="158"/>
      <c r="V115" s="158">
        <v>29735216</v>
      </c>
      <c r="W115" s="158"/>
      <c r="X115" s="158">
        <v>19702174</v>
      </c>
      <c r="Y115" s="126"/>
      <c r="Z115" s="127">
        <v>19702174</v>
      </c>
      <c r="AA115" s="128">
        <v>10033042</v>
      </c>
      <c r="AB115" s="129">
        <f t="shared" si="22"/>
        <v>10033042</v>
      </c>
      <c r="AC115" s="130"/>
      <c r="AD115" s="131"/>
      <c r="AE115" s="132"/>
      <c r="AF115" s="132"/>
    </row>
    <row r="116" ht="12.75" customHeight="1" spans="1:32" x14ac:dyDescent="0.25">
      <c r="A116" s="115">
        <f t="shared" si="51"/>
        <v>40</v>
      </c>
      <c r="B116" s="153" t="s">
        <v>328</v>
      </c>
      <c r="C116" s="121" t="s">
        <v>345</v>
      </c>
      <c r="D116" s="130" t="s">
        <v>178</v>
      </c>
      <c r="E116" s="118" t="s">
        <v>194</v>
      </c>
      <c r="F116" s="118" t="s">
        <v>191</v>
      </c>
      <c r="G116" s="117"/>
      <c r="H116" s="119"/>
      <c r="I116" s="144">
        <v>26570766</v>
      </c>
      <c r="J116" s="145"/>
      <c r="K116" s="122"/>
      <c r="L116" s="146">
        <v>26570766</v>
      </c>
      <c r="M116" s="146">
        <v>3153361</v>
      </c>
      <c r="N116" s="145"/>
      <c r="O116" s="124"/>
      <c r="P116" s="158">
        <v>3153361</v>
      </c>
      <c r="Q116" s="158">
        <v>23417405</v>
      </c>
      <c r="R116" s="159">
        <v>0.8813</v>
      </c>
      <c r="S116" s="158"/>
      <c r="T116" s="158"/>
      <c r="U116" s="158"/>
      <c r="V116" s="158">
        <v>0</v>
      </c>
      <c r="W116" s="158"/>
      <c r="X116" s="158"/>
      <c r="Y116" s="126"/>
      <c r="Z116" s="127">
        <v>0</v>
      </c>
      <c r="AA116" s="128">
        <v>0</v>
      </c>
      <c r="AB116" s="129">
        <f t="shared" si="22"/>
        <v>0</v>
      </c>
      <c r="AC116" s="130"/>
      <c r="AD116" s="131"/>
      <c r="AE116" s="132"/>
      <c r="AF116" s="132"/>
    </row>
    <row r="117" ht="12.75" customHeight="1" spans="1:32" x14ac:dyDescent="0.25">
      <c r="A117" s="115">
        <v>39</v>
      </c>
      <c r="B117" s="153" t="s">
        <v>346</v>
      </c>
      <c r="C117" s="121" t="s">
        <v>347</v>
      </c>
      <c r="D117" s="130" t="s">
        <v>183</v>
      </c>
      <c r="E117" s="118" t="s">
        <v>194</v>
      </c>
      <c r="F117" s="118" t="s">
        <v>180</v>
      </c>
      <c r="G117" s="117"/>
      <c r="H117" s="119"/>
      <c r="I117" s="150"/>
      <c r="J117" s="167"/>
      <c r="K117" s="122">
        <v>37605000</v>
      </c>
      <c r="L117" s="147">
        <v>37605000</v>
      </c>
      <c r="M117" s="146">
        <v>0</v>
      </c>
      <c r="N117" s="145"/>
      <c r="O117" s="124"/>
      <c r="P117" s="158">
        <v>0</v>
      </c>
      <c r="Q117" s="158">
        <v>37605000</v>
      </c>
      <c r="R117" s="159">
        <v>1</v>
      </c>
      <c r="S117" s="158"/>
      <c r="T117" s="158"/>
      <c r="U117" s="158"/>
      <c r="V117" s="158">
        <v>0</v>
      </c>
      <c r="W117" s="158"/>
      <c r="X117" s="158"/>
      <c r="Y117" s="126"/>
      <c r="Z117" s="127">
        <v>0</v>
      </c>
      <c r="AA117" s="128">
        <v>0</v>
      </c>
      <c r="AB117" s="129">
        <f t="shared" si="22"/>
        <v>0</v>
      </c>
      <c r="AC117" s="130"/>
      <c r="AD117" s="131"/>
      <c r="AE117" s="132"/>
      <c r="AF117" s="132"/>
    </row>
    <row r="118" ht="12.75" customHeight="1" spans="1:32" x14ac:dyDescent="0.25">
      <c r="A118" s="115">
        <f t="shared" ref="A118:A119" si="52">IF(C118="","",A117+1)</f>
        <v>40</v>
      </c>
      <c r="B118" s="153" t="s">
        <v>304</v>
      </c>
      <c r="C118" s="121" t="s">
        <v>348</v>
      </c>
      <c r="D118" s="130" t="s">
        <v>183</v>
      </c>
      <c r="E118" s="118" t="s">
        <v>194</v>
      </c>
      <c r="F118" s="118" t="s">
        <v>191</v>
      </c>
      <c r="G118" s="117"/>
      <c r="H118" s="119"/>
      <c r="I118" s="150"/>
      <c r="J118" s="167"/>
      <c r="K118" s="122">
        <v>59796722</v>
      </c>
      <c r="L118" s="147">
        <v>59796722</v>
      </c>
      <c r="M118" s="146">
        <v>0</v>
      </c>
      <c r="N118" s="145"/>
      <c r="O118" s="124"/>
      <c r="P118" s="158">
        <v>0</v>
      </c>
      <c r="Q118" s="158">
        <v>59796722</v>
      </c>
      <c r="R118" s="159">
        <v>1</v>
      </c>
      <c r="S118" s="158">
        <v>60260556</v>
      </c>
      <c r="T118" s="158"/>
      <c r="U118" s="158"/>
      <c r="V118" s="158">
        <v>60260556</v>
      </c>
      <c r="W118" s="158"/>
      <c r="X118" s="158"/>
      <c r="Y118" s="126"/>
      <c r="Z118" s="127">
        <v>0</v>
      </c>
      <c r="AA118" s="128">
        <v>60260556</v>
      </c>
      <c r="AB118" s="129">
        <f t="shared" si="22"/>
        <v>60260556</v>
      </c>
      <c r="AC118" s="130"/>
      <c r="AD118" s="131"/>
      <c r="AE118" s="132"/>
      <c r="AF118" s="132"/>
    </row>
    <row r="119" ht="12.75" customHeight="1" spans="1:32" x14ac:dyDescent="0.25">
      <c r="A119" s="115">
        <f t="shared" si="52"/>
        <v>41</v>
      </c>
      <c r="B119" s="153" t="s">
        <v>312</v>
      </c>
      <c r="C119" s="121" t="s">
        <v>349</v>
      </c>
      <c r="D119" s="130" t="s">
        <v>183</v>
      </c>
      <c r="E119" s="118" t="s">
        <v>194</v>
      </c>
      <c r="F119" s="118" t="s">
        <v>191</v>
      </c>
      <c r="G119" s="117"/>
      <c r="H119" s="119"/>
      <c r="I119" s="150">
        <v>49930000</v>
      </c>
      <c r="J119" s="167"/>
      <c r="K119" s="122"/>
      <c r="L119" s="147">
        <v>49930000</v>
      </c>
      <c r="M119" s="146">
        <v>2068534</v>
      </c>
      <c r="N119" s="145"/>
      <c r="O119" s="124"/>
      <c r="P119" s="158">
        <v>2068534</v>
      </c>
      <c r="Q119" s="158">
        <v>47861466</v>
      </c>
      <c r="R119" s="159">
        <v>0.9586</v>
      </c>
      <c r="S119" s="158">
        <v>27776660</v>
      </c>
      <c r="T119" s="158"/>
      <c r="U119" s="158"/>
      <c r="V119" s="158">
        <v>27776660</v>
      </c>
      <c r="W119" s="158">
        <v>1131550</v>
      </c>
      <c r="X119" s="158"/>
      <c r="Y119" s="126"/>
      <c r="Z119" s="127">
        <v>1131550</v>
      </c>
      <c r="AA119" s="128">
        <v>26645110</v>
      </c>
      <c r="AB119" s="129"/>
      <c r="AC119" s="130"/>
      <c r="AD119" s="131"/>
      <c r="AE119" s="132"/>
      <c r="AF119" s="132"/>
    </row>
    <row r="120" ht="12.75" customHeight="1" spans="1:32" x14ac:dyDescent="0.25">
      <c r="A120" s="115">
        <v>40</v>
      </c>
      <c r="B120" s="153" t="s">
        <v>350</v>
      </c>
      <c r="C120" s="121" t="s">
        <v>351</v>
      </c>
      <c r="D120" s="130" t="s">
        <v>178</v>
      </c>
      <c r="E120" s="118" t="s">
        <v>194</v>
      </c>
      <c r="F120" s="118" t="s">
        <v>191</v>
      </c>
      <c r="G120" s="117"/>
      <c r="H120" s="119"/>
      <c r="I120" s="150">
        <v>18767320</v>
      </c>
      <c r="J120" s="167"/>
      <c r="K120" s="122"/>
      <c r="L120" s="147">
        <v>18767320</v>
      </c>
      <c r="M120" s="146">
        <v>6369133</v>
      </c>
      <c r="N120" s="145"/>
      <c r="O120" s="124"/>
      <c r="P120" s="158">
        <v>6369133</v>
      </c>
      <c r="Q120" s="158">
        <v>12398187</v>
      </c>
      <c r="R120" s="159">
        <v>0.6606</v>
      </c>
      <c r="S120" s="158"/>
      <c r="T120" s="158"/>
      <c r="U120" s="158"/>
      <c r="V120" s="158">
        <v>0</v>
      </c>
      <c r="W120" s="158"/>
      <c r="X120" s="158"/>
      <c r="Y120" s="126"/>
      <c r="Z120" s="127">
        <v>0</v>
      </c>
      <c r="AA120" s="128">
        <v>0</v>
      </c>
      <c r="AB120" s="129"/>
      <c r="AC120" s="130"/>
      <c r="AD120" s="131"/>
      <c r="AE120" s="132"/>
      <c r="AF120" s="132"/>
    </row>
    <row r="121" ht="12.75" customHeight="1" spans="1:32" x14ac:dyDescent="0.25">
      <c r="A121" s="115">
        <f t="shared" ref="A121:A122" si="53">IF(C121="","",A120+1)</f>
        <v>41</v>
      </c>
      <c r="B121" s="153" t="s">
        <v>181</v>
      </c>
      <c r="C121" s="121" t="s">
        <v>352</v>
      </c>
      <c r="D121" s="130" t="s">
        <v>183</v>
      </c>
      <c r="E121" s="118" t="s">
        <v>179</v>
      </c>
      <c r="F121" s="118" t="s">
        <v>180</v>
      </c>
      <c r="G121" s="117"/>
      <c r="H121" s="119"/>
      <c r="I121" s="150"/>
      <c r="J121" s="167"/>
      <c r="K121" s="122"/>
      <c r="L121" s="147">
        <v>0</v>
      </c>
      <c r="M121" s="146"/>
      <c r="N121" s="145"/>
      <c r="O121" s="124">
        <v>0</v>
      </c>
      <c r="P121" s="158">
        <v>0</v>
      </c>
      <c r="Q121" s="158">
        <v>0</v>
      </c>
      <c r="R121" s="158"/>
      <c r="S121" s="158"/>
      <c r="T121" s="158"/>
      <c r="U121" s="158">
        <v>87388500</v>
      </c>
      <c r="V121" s="158">
        <v>87388500</v>
      </c>
      <c r="W121" s="158"/>
      <c r="X121" s="158"/>
      <c r="Y121" s="126"/>
      <c r="Z121" s="127">
        <v>0</v>
      </c>
      <c r="AA121" s="128">
        <v>87388500</v>
      </c>
      <c r="AB121" s="129"/>
      <c r="AC121" s="130"/>
      <c r="AD121" s="131"/>
      <c r="AE121" s="132"/>
      <c r="AF121" s="132"/>
    </row>
    <row r="122" ht="12.75" customHeight="1" spans="1:32" x14ac:dyDescent="0.25">
      <c r="A122" s="115">
        <f t="shared" si="53"/>
        <v>42</v>
      </c>
      <c r="B122" s="153" t="s">
        <v>172</v>
      </c>
      <c r="C122" s="121" t="s">
        <v>353</v>
      </c>
      <c r="D122" s="130" t="s">
        <v>183</v>
      </c>
      <c r="E122" s="118"/>
      <c r="F122" s="118" t="s">
        <v>180</v>
      </c>
      <c r="G122" s="117"/>
      <c r="H122" s="119"/>
      <c r="I122" s="150"/>
      <c r="J122" s="167"/>
      <c r="K122" s="122"/>
      <c r="L122" s="147">
        <v>0</v>
      </c>
      <c r="M122" s="146"/>
      <c r="N122" s="145"/>
      <c r="O122" s="124"/>
      <c r="P122" s="158">
        <v>0</v>
      </c>
      <c r="Q122" s="158">
        <v>0</v>
      </c>
      <c r="R122" s="158"/>
      <c r="S122" s="158"/>
      <c r="T122" s="158"/>
      <c r="U122" s="158"/>
      <c r="V122" s="158">
        <v>0</v>
      </c>
      <c r="W122" s="158"/>
      <c r="X122" s="158"/>
      <c r="Y122" s="126"/>
      <c r="Z122" s="127">
        <v>0</v>
      </c>
      <c r="AA122" s="128">
        <v>0</v>
      </c>
      <c r="AB122" s="129"/>
      <c r="AC122" s="130"/>
      <c r="AD122" s="131"/>
      <c r="AE122" s="132"/>
      <c r="AF122" s="132"/>
    </row>
    <row r="123" ht="12.75" customHeight="1" spans="1:32" x14ac:dyDescent="0.25">
      <c r="A123" s="115">
        <v>41</v>
      </c>
      <c r="B123" s="153" t="s">
        <v>172</v>
      </c>
      <c r="C123" s="121" t="s">
        <v>354</v>
      </c>
      <c r="D123" s="130" t="s">
        <v>183</v>
      </c>
      <c r="E123" s="118"/>
      <c r="F123" s="118" t="s">
        <v>180</v>
      </c>
      <c r="G123" s="117"/>
      <c r="H123" s="119"/>
      <c r="I123" s="150"/>
      <c r="J123" s="167"/>
      <c r="K123" s="122"/>
      <c r="L123" s="147">
        <v>0</v>
      </c>
      <c r="M123" s="146"/>
      <c r="N123" s="145"/>
      <c r="O123" s="124"/>
      <c r="P123" s="158">
        <v>0</v>
      </c>
      <c r="Q123" s="158">
        <v>0</v>
      </c>
      <c r="R123" s="158"/>
      <c r="S123" s="158"/>
      <c r="T123" s="158"/>
      <c r="U123" s="158"/>
      <c r="V123" s="158">
        <v>0</v>
      </c>
      <c r="W123" s="158"/>
      <c r="X123" s="158"/>
      <c r="Y123" s="126"/>
      <c r="Z123" s="127">
        <v>0</v>
      </c>
      <c r="AA123" s="128">
        <v>0</v>
      </c>
      <c r="AB123" s="129"/>
      <c r="AC123" s="130"/>
      <c r="AD123" s="131"/>
      <c r="AE123" s="132"/>
      <c r="AF123" s="132"/>
    </row>
    <row r="124" ht="12.75" customHeight="1" spans="1:32" x14ac:dyDescent="0.25">
      <c r="A124" s="115">
        <f t="shared" ref="A124:A125" si="54">IF(C124="","",A123+1)</f>
        <v>42</v>
      </c>
      <c r="B124" s="153" t="s">
        <v>172</v>
      </c>
      <c r="C124" s="121" t="s">
        <v>355</v>
      </c>
      <c r="D124" s="130" t="s">
        <v>183</v>
      </c>
      <c r="E124" s="118"/>
      <c r="F124" s="118" t="s">
        <v>180</v>
      </c>
      <c r="G124" s="117"/>
      <c r="H124" s="119"/>
      <c r="I124" s="150"/>
      <c r="J124" s="167"/>
      <c r="K124" s="122"/>
      <c r="L124" s="147">
        <v>0</v>
      </c>
      <c r="M124" s="146"/>
      <c r="N124" s="145"/>
      <c r="O124" s="124"/>
      <c r="P124" s="158">
        <v>0</v>
      </c>
      <c r="Q124" s="158">
        <v>0</v>
      </c>
      <c r="R124" s="158"/>
      <c r="S124" s="158"/>
      <c r="T124" s="158"/>
      <c r="U124" s="158"/>
      <c r="V124" s="158">
        <v>0</v>
      </c>
      <c r="W124" s="158"/>
      <c r="X124" s="158"/>
      <c r="Y124" s="126"/>
      <c r="Z124" s="127">
        <v>0</v>
      </c>
      <c r="AA124" s="128">
        <v>0</v>
      </c>
      <c r="AB124" s="129"/>
      <c r="AC124" s="130"/>
      <c r="AD124" s="131"/>
      <c r="AE124" s="132"/>
      <c r="AF124" s="132"/>
    </row>
    <row r="125" ht="12.75" customHeight="1" spans="1:32" x14ac:dyDescent="0.25">
      <c r="A125" s="115">
        <f t="shared" si="54"/>
        <v>43</v>
      </c>
      <c r="B125" s="153" t="s">
        <v>172</v>
      </c>
      <c r="C125" s="121" t="s">
        <v>356</v>
      </c>
      <c r="D125" s="130"/>
      <c r="E125" s="118"/>
      <c r="F125" s="118"/>
      <c r="G125" s="117"/>
      <c r="H125" s="119"/>
      <c r="I125" s="150"/>
      <c r="J125" s="167"/>
      <c r="K125" s="122"/>
      <c r="L125" s="147">
        <v>0</v>
      </c>
      <c r="M125" s="146"/>
      <c r="N125" s="145"/>
      <c r="O125" s="124"/>
      <c r="P125" s="158"/>
      <c r="Q125" s="158"/>
      <c r="R125" s="158"/>
      <c r="S125" s="158"/>
      <c r="T125" s="158"/>
      <c r="U125" s="158"/>
      <c r="V125" s="158">
        <v>0</v>
      </c>
      <c r="W125" s="158"/>
      <c r="X125" s="158"/>
      <c r="Y125" s="126"/>
      <c r="Z125" s="127">
        <v>0</v>
      </c>
      <c r="AA125" s="128">
        <v>0</v>
      </c>
      <c r="AB125" s="129"/>
      <c r="AC125" s="130"/>
      <c r="AD125" s="131"/>
      <c r="AE125" s="132"/>
      <c r="AF125" s="132"/>
    </row>
    <row r="126" ht="12.75" customHeight="1" spans="1:32" x14ac:dyDescent="0.25">
      <c r="A126" s="115">
        <v>42</v>
      </c>
      <c r="B126" s="153" t="s">
        <v>335</v>
      </c>
      <c r="C126" s="121" t="s">
        <v>357</v>
      </c>
      <c r="D126" s="130" t="s">
        <v>183</v>
      </c>
      <c r="E126" s="118" t="s">
        <v>194</v>
      </c>
      <c r="F126" s="118" t="s">
        <v>191</v>
      </c>
      <c r="G126" s="117"/>
      <c r="H126" s="119"/>
      <c r="I126" s="150"/>
      <c r="J126" s="167"/>
      <c r="K126" s="122"/>
      <c r="L126" s="147">
        <v>0</v>
      </c>
      <c r="M126" s="146"/>
      <c r="N126" s="145"/>
      <c r="O126" s="124"/>
      <c r="P126" s="158"/>
      <c r="Q126" s="158"/>
      <c r="R126" s="158"/>
      <c r="S126" s="158">
        <v>306744000</v>
      </c>
      <c r="T126" s="158"/>
      <c r="U126" s="158"/>
      <c r="V126" s="158">
        <v>306744000</v>
      </c>
      <c r="W126" s="158"/>
      <c r="X126" s="158"/>
      <c r="Y126" s="126"/>
      <c r="Z126" s="127">
        <v>0</v>
      </c>
      <c r="AA126" s="128">
        <v>306744000</v>
      </c>
      <c r="AB126" s="129"/>
      <c r="AC126" s="130"/>
      <c r="AD126" s="131"/>
      <c r="AE126" s="132"/>
      <c r="AF126" s="132"/>
    </row>
    <row r="127" ht="12.75" customHeight="1" spans="1:32" x14ac:dyDescent="0.25">
      <c r="A127" s="115">
        <f t="shared" ref="A127:A128" si="55">IF(C127="","",A126+1)</f>
        <v>43</v>
      </c>
      <c r="B127" s="153" t="s">
        <v>328</v>
      </c>
      <c r="C127" s="121" t="s">
        <v>358</v>
      </c>
      <c r="D127" s="130" t="s">
        <v>178</v>
      </c>
      <c r="E127" s="118" t="s">
        <v>194</v>
      </c>
      <c r="F127" s="118" t="s">
        <v>191</v>
      </c>
      <c r="G127" s="117"/>
      <c r="H127" s="119"/>
      <c r="I127" s="150"/>
      <c r="J127" s="167"/>
      <c r="K127" s="122"/>
      <c r="L127" s="147">
        <v>0</v>
      </c>
      <c r="M127" s="146"/>
      <c r="N127" s="145"/>
      <c r="O127" s="124"/>
      <c r="P127" s="158"/>
      <c r="Q127" s="158"/>
      <c r="R127" s="158"/>
      <c r="S127" s="158">
        <v>63393760</v>
      </c>
      <c r="T127" s="158"/>
      <c r="U127" s="158"/>
      <c r="V127" s="158">
        <v>63393760</v>
      </c>
      <c r="W127" s="158"/>
      <c r="X127" s="158"/>
      <c r="Y127" s="126"/>
      <c r="Z127" s="127">
        <v>0</v>
      </c>
      <c r="AA127" s="128">
        <v>63393760</v>
      </c>
      <c r="AB127" s="129"/>
      <c r="AC127" s="130"/>
      <c r="AD127" s="131"/>
      <c r="AE127" s="132"/>
      <c r="AF127" s="132"/>
    </row>
    <row r="128" ht="12.75" customHeight="1" spans="1:32" x14ac:dyDescent="0.25">
      <c r="A128" s="115">
        <f t="shared" si="55"/>
        <v>44</v>
      </c>
      <c r="B128" s="153" t="s">
        <v>330</v>
      </c>
      <c r="C128" s="121" t="s">
        <v>359</v>
      </c>
      <c r="D128" s="130" t="s">
        <v>183</v>
      </c>
      <c r="E128" s="118" t="s">
        <v>194</v>
      </c>
      <c r="F128" s="118" t="s">
        <v>191</v>
      </c>
      <c r="G128" s="117"/>
      <c r="H128" s="119"/>
      <c r="I128" s="150"/>
      <c r="J128" s="167"/>
      <c r="K128" s="122"/>
      <c r="L128" s="147"/>
      <c r="M128" s="146"/>
      <c r="N128" s="145"/>
      <c r="O128" s="124"/>
      <c r="P128" s="158"/>
      <c r="Q128" s="158"/>
      <c r="R128" s="158"/>
      <c r="S128" s="158"/>
      <c r="T128" s="158"/>
      <c r="U128" s="158">
        <v>35707000</v>
      </c>
      <c r="V128" s="158">
        <v>35707000</v>
      </c>
      <c r="W128" s="158"/>
      <c r="X128" s="158"/>
      <c r="Y128" s="126"/>
      <c r="Z128" s="127">
        <v>0</v>
      </c>
      <c r="AA128" s="128">
        <v>35707000</v>
      </c>
      <c r="AB128" s="129"/>
      <c r="AC128" s="130"/>
      <c r="AD128" s="131"/>
      <c r="AE128" s="132"/>
      <c r="AF128" s="132"/>
    </row>
    <row r="129" ht="12.75" customHeight="1" spans="1:32" x14ac:dyDescent="0.25">
      <c r="A129" s="115">
        <v>43</v>
      </c>
      <c r="B129" s="153" t="s">
        <v>312</v>
      </c>
      <c r="C129" s="121" t="s">
        <v>360</v>
      </c>
      <c r="D129" s="130" t="s">
        <v>178</v>
      </c>
      <c r="E129" s="118" t="s">
        <v>194</v>
      </c>
      <c r="F129" s="118" t="s">
        <v>191</v>
      </c>
      <c r="G129" s="117"/>
      <c r="H129" s="119"/>
      <c r="I129" s="150"/>
      <c r="J129" s="167"/>
      <c r="K129" s="122"/>
      <c r="L129" s="147"/>
      <c r="M129" s="146"/>
      <c r="N129" s="145"/>
      <c r="O129" s="124"/>
      <c r="P129" s="158"/>
      <c r="Q129" s="158"/>
      <c r="R129" s="158"/>
      <c r="S129" s="158"/>
      <c r="T129" s="158"/>
      <c r="U129" s="158"/>
      <c r="V129" s="158">
        <v>0</v>
      </c>
      <c r="W129" s="158"/>
      <c r="X129" s="158"/>
      <c r="Y129" s="126"/>
      <c r="Z129" s="127"/>
      <c r="AA129" s="128"/>
      <c r="AB129" s="129"/>
      <c r="AC129" s="130"/>
      <c r="AD129" s="131"/>
      <c r="AE129" s="132"/>
      <c r="AF129" s="132"/>
    </row>
    <row r="130" ht="12.75" customHeight="1" spans="1:32" x14ac:dyDescent="0.25">
      <c r="A130" s="90"/>
      <c r="B130" s="90"/>
      <c r="C130" s="173" t="s">
        <v>2</v>
      </c>
      <c r="D130" s="174"/>
      <c r="E130" s="90"/>
      <c r="F130" s="90"/>
      <c r="G130" s="90"/>
      <c r="H130" s="175">
        <f>SUM(H3:H34)</f>
        <v>0</v>
      </c>
      <c r="I130" s="176">
        <v>633411367</v>
      </c>
      <c r="J130" s="177">
        <v>1442574058</v>
      </c>
      <c r="K130" s="176">
        <v>777194612</v>
      </c>
      <c r="L130" s="178">
        <v>2853180038</v>
      </c>
      <c r="M130" s="178">
        <v>323125951</v>
      </c>
      <c r="N130" s="178">
        <v>923346413</v>
      </c>
      <c r="O130" s="178">
        <v>311962713</v>
      </c>
      <c r="P130" s="176">
        <v>1558435077</v>
      </c>
      <c r="Q130" s="176">
        <v>1294744960</v>
      </c>
      <c r="R130" s="176"/>
      <c r="S130" s="176">
        <v>1067206196</v>
      </c>
      <c r="T130" s="176">
        <v>1105137087</v>
      </c>
      <c r="U130" s="176">
        <v>325212657</v>
      </c>
      <c r="V130" s="176">
        <v>2497555940</v>
      </c>
      <c r="W130" s="176">
        <v>247357882</v>
      </c>
      <c r="X130" s="176">
        <v>706725479</v>
      </c>
      <c r="Y130" s="176">
        <v>0</v>
      </c>
      <c r="Z130" s="176">
        <v>954083361</v>
      </c>
      <c r="AA130" s="176">
        <v>1543472580</v>
      </c>
      <c r="AB130" s="176">
        <f>SUBTOTAL(9,AB3:AB120)</f>
        <v>1023594210</v>
      </c>
      <c r="AC130" s="176">
        <f t="shared" ref="AC130:AD130" si="56">SUM(AC3:AC88)</f>
        <v>0</v>
      </c>
      <c r="AD130" s="176">
        <f t="shared" si="56"/>
        <v>0</v>
      </c>
      <c r="AE130" s="179"/>
      <c r="AF130" s="180"/>
    </row>
    <row r="131" ht="12.75" customHeight="1" spans="1:42" x14ac:dyDescent="0.25">
      <c r="A131" s="179"/>
      <c r="B131" s="179"/>
      <c r="C131" s="179"/>
      <c r="D131" s="179"/>
      <c r="E131" s="179"/>
      <c r="F131" s="179"/>
      <c r="G131" s="179"/>
      <c r="H131" s="179"/>
      <c r="I131" s="181"/>
      <c r="J131" s="179"/>
      <c r="K131" s="179"/>
      <c r="L131" s="182"/>
      <c r="M131" s="182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32"/>
      <c r="Z131" s="179"/>
      <c r="AA131" s="179"/>
      <c r="AB131" s="179"/>
      <c r="AC131" s="179"/>
      <c r="AD131" s="132"/>
      <c r="AE131" s="179"/>
      <c r="AF131" s="179"/>
      <c r="AP131" s="34"/>
    </row>
    <row r="132" ht="12.75" customHeight="1" spans="1:32" x14ac:dyDescent="0.25">
      <c r="A132" s="179"/>
      <c r="B132" s="179"/>
      <c r="C132" s="183" t="s">
        <v>168</v>
      </c>
      <c r="D132" s="179"/>
      <c r="E132" s="179"/>
      <c r="F132" s="179"/>
      <c r="G132" s="183" t="s">
        <v>361</v>
      </c>
      <c r="H132" s="179"/>
      <c r="I132" s="181"/>
      <c r="J132" s="179"/>
      <c r="K132" s="179"/>
      <c r="L132" s="182"/>
      <c r="M132" s="182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32"/>
      <c r="Z132" s="179"/>
      <c r="AA132" s="179"/>
      <c r="AB132" s="179"/>
      <c r="AC132" s="179"/>
      <c r="AD132" s="132"/>
      <c r="AE132" s="179"/>
      <c r="AF132" s="179"/>
    </row>
    <row r="133" ht="12.75" customHeight="1" spans="1:67" x14ac:dyDescent="0.25">
      <c r="A133" s="179"/>
      <c r="B133" s="184">
        <v>2025</v>
      </c>
      <c r="C133" s="185"/>
      <c r="D133" s="132"/>
      <c r="E133" s="179"/>
      <c r="F133" s="166" t="s">
        <v>362</v>
      </c>
      <c r="G133" s="186">
        <f>SUMIF($F$3:$F$62,B133,$Z$3:$Z$62)</f>
        <v>0</v>
      </c>
      <c r="H133" s="185"/>
      <c r="I133" s="151"/>
      <c r="J133" s="132"/>
      <c r="K133" s="185">
        <f>Cashflow_Misa!G6+Cashflow_Misa!G14+Cashflow_Misa!G11</f>
        <v>0</v>
      </c>
      <c r="L133" s="182"/>
      <c r="M133" s="182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32"/>
      <c r="Z133" s="179"/>
      <c r="AA133" s="179"/>
      <c r="AB133" s="179"/>
      <c r="AC133" s="179"/>
      <c r="AD133" s="132"/>
      <c r="AE133" s="179"/>
      <c r="AF133" s="179"/>
      <c r="AZ133" s="34">
        <f>Cashflow_Misa!U7+Cashflow_Misa!U8+Cashflow_Misa!U14</f>
        <v>0</v>
      </c>
      <c r="BE133" s="34">
        <f>Cashflow_Misa!W6+Cashflow_Misa!W14</f>
        <v>0</v>
      </c>
      <c r="BJ133" s="34">
        <f>Cashflow_Misa!Y6+Cashflow_Misa!Y14</f>
        <v>0</v>
      </c>
      <c r="BO133" s="34">
        <f>Cashflow_Misa!AA6+Cashflow_Misa!AA14</f>
        <v>0</v>
      </c>
    </row>
    <row r="134" ht="12.75" customHeight="1" spans="1:67" x14ac:dyDescent="0.25">
      <c r="A134" s="179"/>
      <c r="B134" s="166" t="s">
        <v>191</v>
      </c>
      <c r="C134" s="186">
        <f>SUMIF($F$3:$F$120,B134,$Y$3:$Y$120)</f>
        <v>0</v>
      </c>
      <c r="D134" s="187" t="e">
        <f t="shared" ref="D134:D135" si="57">C134/$C$136</f>
        <v>#DIV/0!</v>
      </c>
      <c r="E134" s="185"/>
      <c r="F134" s="166" t="s">
        <v>363</v>
      </c>
      <c r="G134" s="186">
        <f>SUMIF($F$3:$F$105,B134,$Z$3:$Z$105)</f>
        <v>49958097</v>
      </c>
      <c r="H134" s="185"/>
      <c r="I134" s="151"/>
      <c r="J134" s="132"/>
      <c r="K134" s="185">
        <f>K130-K133</f>
        <v>777194612</v>
      </c>
      <c r="L134" s="182"/>
      <c r="M134" s="182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32"/>
      <c r="Z134" s="179"/>
      <c r="AA134" s="179"/>
      <c r="AB134" s="179"/>
      <c r="AC134" s="179"/>
      <c r="AD134" s="132"/>
      <c r="AE134" s="179"/>
      <c r="AF134" s="179"/>
      <c r="AZ134" s="34">
        <f>AZ111+BA111</f>
        <v>0</v>
      </c>
      <c r="BE134" s="34">
        <f>BE111+BF111</f>
        <v>0</v>
      </c>
      <c r="BJ134" s="34">
        <f>BJ111+BK111</f>
        <v>0</v>
      </c>
      <c r="BO134" s="34">
        <f>BO111+BP111</f>
        <v>0</v>
      </c>
    </row>
    <row r="135" ht="12.75" customHeight="1" spans="1:67" x14ac:dyDescent="0.25">
      <c r="A135" s="179"/>
      <c r="B135" s="166" t="s">
        <v>180</v>
      </c>
      <c r="C135" s="186">
        <f>SUMIF($F$3:$F$118,B135,$Y$3:$Y$118)</f>
        <v>0</v>
      </c>
      <c r="D135" s="187" t="e">
        <f t="shared" si="57"/>
        <v>#DIV/0!</v>
      </c>
      <c r="E135" s="185"/>
      <c r="F135" s="179"/>
      <c r="G135" s="185"/>
      <c r="H135" s="185"/>
      <c r="I135" s="151"/>
      <c r="J135" s="179"/>
      <c r="K135" s="179"/>
      <c r="L135" s="182"/>
      <c r="M135" s="182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32"/>
      <c r="Z135" s="179"/>
      <c r="AA135" s="179"/>
      <c r="AB135" s="179"/>
      <c r="AC135" s="179"/>
      <c r="AD135" s="132"/>
      <c r="AE135" s="179"/>
      <c r="AF135" s="179"/>
      <c r="AZ135" s="34">
        <f>AZ133-AZ134</f>
        <v>0</v>
      </c>
      <c r="BE135" s="34">
        <f>BE133-BE134</f>
        <v>0</v>
      </c>
      <c r="BJ135" s="34">
        <f>BJ133-BJ134</f>
        <v>0</v>
      </c>
      <c r="BO135" s="34">
        <f>BO133-BO134</f>
        <v>0</v>
      </c>
    </row>
    <row r="136" ht="12.75" customHeight="1" spans="1:32" x14ac:dyDescent="0.25">
      <c r="A136" s="179"/>
      <c r="B136" s="166" t="s">
        <v>364</v>
      </c>
      <c r="C136" s="188">
        <f>SUM(C134:C135)</f>
        <v>0</v>
      </c>
      <c r="D136" s="179"/>
      <c r="E136" s="185"/>
      <c r="F136" s="179"/>
      <c r="G136" s="188">
        <f>SUM(G133:G134)</f>
        <v>49958097</v>
      </c>
      <c r="H136" s="185"/>
      <c r="I136" s="151"/>
      <c r="J136" s="179"/>
      <c r="K136" s="179"/>
      <c r="L136" s="182"/>
      <c r="M136" s="182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32"/>
      <c r="Z136" s="179"/>
      <c r="AA136" s="179"/>
      <c r="AB136" s="179"/>
      <c r="AC136" s="179"/>
      <c r="AD136" s="132"/>
      <c r="AE136" s="179"/>
      <c r="AF136" s="179"/>
    </row>
    <row r="137" ht="12.75" customHeight="1" spans="1:32" x14ac:dyDescent="0.25">
      <c r="A137" s="179"/>
      <c r="B137" s="179"/>
      <c r="C137" s="179"/>
      <c r="D137" s="179"/>
      <c r="E137" s="179"/>
      <c r="F137" s="179"/>
      <c r="G137" s="179"/>
      <c r="H137" s="179"/>
      <c r="I137" s="181"/>
      <c r="J137" s="179"/>
      <c r="K137" s="179"/>
      <c r="L137" s="182"/>
      <c r="M137" s="182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32"/>
      <c r="Z137" s="179"/>
      <c r="AA137" s="179"/>
      <c r="AB137" s="179"/>
      <c r="AC137" s="179"/>
      <c r="AD137" s="132"/>
      <c r="AE137" s="179"/>
      <c r="AF137" s="179"/>
    </row>
    <row r="138" ht="12.75" customHeight="1" spans="1:32" x14ac:dyDescent="0.25">
      <c r="A138" s="179"/>
      <c r="B138" s="179"/>
      <c r="C138" s="185"/>
      <c r="D138" s="179"/>
      <c r="E138" s="179"/>
      <c r="F138" s="132"/>
      <c r="G138" s="185"/>
      <c r="H138" s="132"/>
      <c r="I138" s="181"/>
      <c r="J138" s="179"/>
      <c r="K138" s="179"/>
      <c r="L138" s="182"/>
      <c r="M138" s="182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89"/>
      <c r="Z138" s="179"/>
      <c r="AA138" s="179"/>
      <c r="AB138" s="179"/>
      <c r="AC138" s="179"/>
      <c r="AD138" s="132"/>
      <c r="AE138" s="179"/>
      <c r="AF138" s="179"/>
    </row>
    <row r="139" ht="12.75" customHeight="1" spans="1:32" x14ac:dyDescent="0.25">
      <c r="A139" s="179"/>
      <c r="B139" s="179"/>
      <c r="C139" s="185"/>
      <c r="D139" s="179"/>
      <c r="E139" s="179"/>
      <c r="F139" s="132"/>
      <c r="G139" s="185"/>
      <c r="H139" s="132"/>
      <c r="I139" s="181"/>
      <c r="J139" s="179"/>
      <c r="K139" s="179"/>
      <c r="L139" s="182"/>
      <c r="M139" s="182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90"/>
      <c r="Z139" s="179"/>
      <c r="AA139" s="179"/>
      <c r="AB139" s="179"/>
      <c r="AC139" s="179"/>
      <c r="AD139" s="132"/>
      <c r="AE139" s="179"/>
      <c r="AF139" s="179"/>
    </row>
    <row r="140" ht="12.75" customHeight="1" spans="1:32" x14ac:dyDescent="0.25">
      <c r="A140" s="179"/>
      <c r="B140" s="179"/>
      <c r="C140" s="179"/>
      <c r="D140" s="179"/>
      <c r="E140" s="179"/>
      <c r="F140" s="179"/>
      <c r="G140" s="185"/>
      <c r="H140" s="179"/>
      <c r="I140" s="181"/>
      <c r="J140" s="179"/>
      <c r="K140" s="179"/>
      <c r="L140" s="182"/>
      <c r="M140" s="182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90"/>
      <c r="Z140" s="179"/>
      <c r="AA140" s="179"/>
      <c r="AB140" s="179"/>
      <c r="AC140" s="179"/>
      <c r="AD140" s="132"/>
      <c r="AE140" s="179"/>
      <c r="AF140" s="179"/>
    </row>
    <row r="141" ht="12.75" customHeight="1" spans="1:32" x14ac:dyDescent="0.25">
      <c r="A141" s="179"/>
      <c r="B141" s="179"/>
      <c r="C141" s="179"/>
      <c r="D141" s="132"/>
      <c r="E141" s="132"/>
      <c r="F141" s="179"/>
      <c r="G141" s="185"/>
      <c r="H141" s="179"/>
      <c r="I141" s="181"/>
      <c r="J141" s="179"/>
      <c r="K141" s="179"/>
      <c r="L141" s="182"/>
      <c r="M141" s="182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90"/>
      <c r="Z141" s="179"/>
      <c r="AA141" s="179"/>
      <c r="AB141" s="179"/>
      <c r="AC141" s="179"/>
      <c r="AD141" s="132"/>
      <c r="AE141" s="179"/>
      <c r="AF141" s="179"/>
    </row>
    <row r="142" ht="12.75" customHeight="1" spans="1:32" x14ac:dyDescent="0.25">
      <c r="A142" s="179"/>
      <c r="B142" s="179"/>
      <c r="C142" s="179"/>
      <c r="D142" s="132"/>
      <c r="E142" s="132"/>
      <c r="F142" s="179"/>
      <c r="G142" s="179"/>
      <c r="H142" s="179"/>
      <c r="I142" s="181"/>
      <c r="J142" s="179"/>
      <c r="K142" s="179"/>
      <c r="L142" s="182"/>
      <c r="M142" s="182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89"/>
      <c r="Z142" s="179"/>
      <c r="AA142" s="179"/>
      <c r="AB142" s="179"/>
      <c r="AC142" s="179"/>
      <c r="AD142" s="132"/>
      <c r="AE142" s="179"/>
      <c r="AF142" s="179"/>
    </row>
    <row r="143" ht="12.75" customHeight="1" spans="1:32" x14ac:dyDescent="0.25">
      <c r="A143" s="179"/>
      <c r="B143" s="179"/>
      <c r="C143" s="179"/>
      <c r="D143" s="179"/>
      <c r="E143" s="179"/>
      <c r="F143" s="179"/>
      <c r="G143" s="179"/>
      <c r="H143" s="179"/>
      <c r="I143" s="181"/>
      <c r="J143" s="179"/>
      <c r="K143" s="179"/>
      <c r="L143" s="182"/>
      <c r="M143" s="182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32"/>
      <c r="Z143" s="179"/>
      <c r="AA143" s="179"/>
      <c r="AB143" s="179"/>
      <c r="AC143" s="179"/>
      <c r="AD143" s="132"/>
      <c r="AE143" s="179"/>
      <c r="AF143" s="179"/>
    </row>
    <row r="144" ht="12.75" customHeight="1" spans="1:32" x14ac:dyDescent="0.25">
      <c r="A144" s="179"/>
      <c r="B144" s="179"/>
      <c r="C144" s="179"/>
      <c r="D144" s="179"/>
      <c r="E144" s="179"/>
      <c r="F144" s="179"/>
      <c r="G144" s="179"/>
      <c r="H144" s="179"/>
      <c r="I144" s="181"/>
      <c r="J144" s="179"/>
      <c r="K144" s="179"/>
      <c r="L144" s="182"/>
      <c r="M144" s="182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32"/>
      <c r="Z144" s="179"/>
      <c r="AA144" s="179"/>
      <c r="AB144" s="179"/>
      <c r="AC144" s="179"/>
      <c r="AD144" s="132"/>
      <c r="AE144" s="179"/>
      <c r="AF144" s="179"/>
    </row>
    <row r="145" ht="12.75" customHeight="1" spans="1:32" x14ac:dyDescent="0.25">
      <c r="A145" s="179"/>
      <c r="B145" s="179"/>
      <c r="C145" s="179"/>
      <c r="D145" s="179"/>
      <c r="E145" s="179"/>
      <c r="F145" s="179"/>
      <c r="G145" s="179"/>
      <c r="H145" s="179"/>
      <c r="I145" s="181"/>
      <c r="J145" s="179"/>
      <c r="K145" s="179"/>
      <c r="L145" s="182"/>
      <c r="M145" s="182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32"/>
      <c r="Z145" s="179"/>
      <c r="AA145" s="179"/>
      <c r="AB145" s="179"/>
      <c r="AC145" s="179"/>
      <c r="AD145" s="132"/>
      <c r="AE145" s="179"/>
      <c r="AF145" s="179"/>
    </row>
    <row r="146" ht="12.75" customHeight="1" spans="1:32" x14ac:dyDescent="0.25">
      <c r="A146" s="179"/>
      <c r="B146" s="179"/>
      <c r="C146" s="179"/>
      <c r="D146" s="179"/>
      <c r="E146" s="179"/>
      <c r="F146" s="179"/>
      <c r="G146" s="179"/>
      <c r="H146" s="179"/>
      <c r="I146" s="181"/>
      <c r="J146" s="179"/>
      <c r="K146" s="179"/>
      <c r="L146" s="182"/>
      <c r="M146" s="182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32"/>
      <c r="Z146" s="179"/>
      <c r="AA146" s="179"/>
      <c r="AB146" s="179"/>
      <c r="AC146" s="179"/>
      <c r="AD146" s="132"/>
      <c r="AE146" s="179"/>
      <c r="AF146" s="179"/>
    </row>
    <row r="147" ht="12.75" customHeight="1" spans="1:32" x14ac:dyDescent="0.25">
      <c r="A147" s="179"/>
      <c r="B147" s="179"/>
      <c r="C147" s="179"/>
      <c r="D147" s="179"/>
      <c r="E147" s="179"/>
      <c r="F147" s="179"/>
      <c r="G147" s="179"/>
      <c r="H147" s="179"/>
      <c r="I147" s="181"/>
      <c r="J147" s="179"/>
      <c r="K147" s="179"/>
      <c r="L147" s="182"/>
      <c r="M147" s="182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32"/>
      <c r="Z147" s="179"/>
      <c r="AA147" s="179"/>
      <c r="AB147" s="179"/>
      <c r="AC147" s="179"/>
      <c r="AD147" s="132"/>
      <c r="AE147" s="179"/>
      <c r="AF147" s="179"/>
    </row>
    <row r="148" ht="12.75" customHeight="1" spans="1:32" x14ac:dyDescent="0.25">
      <c r="A148" s="179"/>
      <c r="B148" s="179"/>
      <c r="C148" s="179"/>
      <c r="D148" s="179"/>
      <c r="E148" s="179"/>
      <c r="F148" s="179"/>
      <c r="G148" s="179"/>
      <c r="H148" s="179"/>
      <c r="I148" s="181"/>
      <c r="J148" s="179"/>
      <c r="K148" s="179"/>
      <c r="L148" s="182"/>
      <c r="M148" s="182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32"/>
      <c r="Z148" s="179"/>
      <c r="AA148" s="179"/>
      <c r="AB148" s="179"/>
      <c r="AC148" s="179"/>
      <c r="AD148" s="132"/>
      <c r="AE148" s="179"/>
      <c r="AF148" s="179"/>
    </row>
    <row r="149" ht="12.75" customHeight="1" spans="1:32" x14ac:dyDescent="0.25">
      <c r="A149" s="179"/>
      <c r="B149" s="179"/>
      <c r="C149" s="179"/>
      <c r="D149" s="179"/>
      <c r="E149" s="179"/>
      <c r="F149" s="179"/>
      <c r="G149" s="179"/>
      <c r="H149" s="179"/>
      <c r="I149" s="181"/>
      <c r="J149" s="179"/>
      <c r="K149" s="179"/>
      <c r="L149" s="182"/>
      <c r="M149" s="182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32"/>
      <c r="Z149" s="179"/>
      <c r="AA149" s="179"/>
      <c r="AB149" s="179"/>
      <c r="AC149" s="179"/>
      <c r="AD149" s="132"/>
      <c r="AE149" s="179"/>
      <c r="AF149" s="179"/>
    </row>
    <row r="150" ht="12.75" customHeight="1" spans="1:32" x14ac:dyDescent="0.25">
      <c r="A150" s="179"/>
      <c r="B150" s="179"/>
      <c r="C150" s="179"/>
      <c r="D150" s="179"/>
      <c r="E150" s="179"/>
      <c r="F150" s="179"/>
      <c r="G150" s="179"/>
      <c r="H150" s="179"/>
      <c r="I150" s="181"/>
      <c r="J150" s="179"/>
      <c r="K150" s="179"/>
      <c r="L150" s="182"/>
      <c r="M150" s="182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32"/>
      <c r="Z150" s="179"/>
      <c r="AA150" s="179"/>
      <c r="AB150" s="179"/>
      <c r="AC150" s="179"/>
      <c r="AD150" s="132"/>
      <c r="AE150" s="179"/>
      <c r="AF150" s="179"/>
    </row>
    <row r="151" ht="12.75" customHeight="1" spans="1:32" x14ac:dyDescent="0.25">
      <c r="A151" s="179"/>
      <c r="B151" s="179"/>
      <c r="C151" s="179"/>
      <c r="D151" s="179"/>
      <c r="E151" s="179"/>
      <c r="F151" s="179"/>
      <c r="G151" s="179"/>
      <c r="H151" s="179"/>
      <c r="I151" s="181"/>
      <c r="J151" s="179"/>
      <c r="K151" s="179"/>
      <c r="L151" s="182"/>
      <c r="M151" s="182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32"/>
      <c r="Z151" s="179"/>
      <c r="AA151" s="179"/>
      <c r="AB151" s="179"/>
      <c r="AC151" s="179"/>
      <c r="AD151" s="132"/>
      <c r="AE151" s="179"/>
      <c r="AF151" s="179"/>
    </row>
    <row r="152" ht="12.75" customHeight="1" spans="1:32" x14ac:dyDescent="0.25">
      <c r="A152" s="179"/>
      <c r="B152" s="179"/>
      <c r="C152" s="179"/>
      <c r="D152" s="179"/>
      <c r="E152" s="179"/>
      <c r="F152" s="179"/>
      <c r="G152" s="179"/>
      <c r="H152" s="179"/>
      <c r="I152" s="181"/>
      <c r="J152" s="179"/>
      <c r="K152" s="179"/>
      <c r="L152" s="182"/>
      <c r="M152" s="182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32"/>
      <c r="Z152" s="179"/>
      <c r="AA152" s="179"/>
      <c r="AB152" s="179"/>
      <c r="AC152" s="179"/>
      <c r="AD152" s="132"/>
      <c r="AE152" s="179"/>
      <c r="AF152" s="179"/>
    </row>
    <row r="153" ht="12.75" customHeight="1" spans="1:32" x14ac:dyDescent="0.25">
      <c r="A153" s="179"/>
      <c r="B153" s="179"/>
      <c r="C153" s="179"/>
      <c r="D153" s="179"/>
      <c r="E153" s="179"/>
      <c r="F153" s="179"/>
      <c r="G153" s="179"/>
      <c r="H153" s="179"/>
      <c r="I153" s="181"/>
      <c r="J153" s="179"/>
      <c r="K153" s="179"/>
      <c r="L153" s="182"/>
      <c r="M153" s="182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32"/>
      <c r="Z153" s="179"/>
      <c r="AA153" s="179"/>
      <c r="AB153" s="179"/>
      <c r="AC153" s="179"/>
      <c r="AD153" s="132"/>
      <c r="AE153" s="179"/>
      <c r="AF153" s="179"/>
    </row>
    <row r="154" ht="12.75" customHeight="1" spans="1:32" x14ac:dyDescent="0.25">
      <c r="A154" s="179"/>
      <c r="B154" s="179"/>
      <c r="C154" s="179"/>
      <c r="D154" s="179"/>
      <c r="E154" s="179"/>
      <c r="F154" s="179"/>
      <c r="G154" s="179"/>
      <c r="H154" s="179"/>
      <c r="I154" s="181"/>
      <c r="J154" s="179"/>
      <c r="K154" s="179"/>
      <c r="L154" s="182"/>
      <c r="M154" s="182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32"/>
      <c r="Z154" s="179"/>
      <c r="AA154" s="179"/>
      <c r="AB154" s="179"/>
      <c r="AC154" s="179"/>
      <c r="AD154" s="132"/>
      <c r="AE154" s="179"/>
      <c r="AF154" s="179"/>
    </row>
    <row r="155" ht="12.75" customHeight="1" spans="1:32" x14ac:dyDescent="0.25">
      <c r="A155" s="179"/>
      <c r="B155" s="179"/>
      <c r="C155" s="179"/>
      <c r="D155" s="179"/>
      <c r="E155" s="179"/>
      <c r="F155" s="179"/>
      <c r="G155" s="179"/>
      <c r="H155" s="179"/>
      <c r="I155" s="181"/>
      <c r="J155" s="179"/>
      <c r="K155" s="179"/>
      <c r="L155" s="182"/>
      <c r="M155" s="182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32"/>
      <c r="Z155" s="179"/>
      <c r="AA155" s="179"/>
      <c r="AB155" s="179"/>
      <c r="AC155" s="179"/>
      <c r="AD155" s="132"/>
      <c r="AE155" s="179"/>
      <c r="AF155" s="179"/>
    </row>
    <row r="156" ht="12.75" customHeight="1" spans="1:32" x14ac:dyDescent="0.25">
      <c r="A156" s="179"/>
      <c r="B156" s="179"/>
      <c r="C156" s="179"/>
      <c r="D156" s="179"/>
      <c r="E156" s="179"/>
      <c r="F156" s="179"/>
      <c r="G156" s="179"/>
      <c r="H156" s="179"/>
      <c r="I156" s="181"/>
      <c r="J156" s="179"/>
      <c r="K156" s="179"/>
      <c r="L156" s="182"/>
      <c r="M156" s="182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32"/>
      <c r="Z156" s="179"/>
      <c r="AA156" s="179"/>
      <c r="AB156" s="179"/>
      <c r="AC156" s="179"/>
      <c r="AD156" s="132"/>
      <c r="AE156" s="179"/>
      <c r="AF156" s="179"/>
    </row>
    <row r="157" ht="12.75" customHeight="1" spans="1:32" x14ac:dyDescent="0.25">
      <c r="A157" s="179"/>
      <c r="B157" s="179"/>
      <c r="C157" s="179"/>
      <c r="D157" s="179"/>
      <c r="E157" s="179"/>
      <c r="F157" s="179"/>
      <c r="G157" s="179"/>
      <c r="H157" s="179"/>
      <c r="I157" s="181"/>
      <c r="J157" s="179"/>
      <c r="K157" s="179"/>
      <c r="L157" s="182"/>
      <c r="M157" s="182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32"/>
      <c r="Z157" s="179"/>
      <c r="AA157" s="179"/>
      <c r="AB157" s="179"/>
      <c r="AC157" s="179"/>
      <c r="AD157" s="132"/>
      <c r="AE157" s="179"/>
      <c r="AF157" s="179"/>
    </row>
    <row r="158" ht="12.75" customHeight="1" spans="1:32" x14ac:dyDescent="0.25">
      <c r="A158" s="179"/>
      <c r="B158" s="179"/>
      <c r="C158" s="179"/>
      <c r="D158" s="179"/>
      <c r="E158" s="179"/>
      <c r="F158" s="179"/>
      <c r="G158" s="179"/>
      <c r="H158" s="179"/>
      <c r="I158" s="181"/>
      <c r="J158" s="179"/>
      <c r="K158" s="179"/>
      <c r="L158" s="182"/>
      <c r="M158" s="182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32"/>
      <c r="Z158" s="179"/>
      <c r="AA158" s="179"/>
      <c r="AB158" s="179"/>
      <c r="AC158" s="179"/>
      <c r="AD158" s="132"/>
      <c r="AE158" s="179"/>
      <c r="AF158" s="179"/>
    </row>
    <row r="159" ht="12.75" customHeight="1" spans="1:32" x14ac:dyDescent="0.25">
      <c r="A159" s="179"/>
      <c r="B159" s="179"/>
      <c r="C159" s="179"/>
      <c r="D159" s="179"/>
      <c r="E159" s="179"/>
      <c r="F159" s="179"/>
      <c r="G159" s="179"/>
      <c r="H159" s="179"/>
      <c r="I159" s="181"/>
      <c r="J159" s="179"/>
      <c r="K159" s="179"/>
      <c r="L159" s="182"/>
      <c r="M159" s="182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32"/>
      <c r="Z159" s="179"/>
      <c r="AA159" s="179"/>
      <c r="AB159" s="179"/>
      <c r="AC159" s="179"/>
      <c r="AD159" s="132"/>
      <c r="AE159" s="179"/>
      <c r="AF159" s="179"/>
    </row>
    <row r="160" ht="12.75" customHeight="1" spans="1:32" x14ac:dyDescent="0.25">
      <c r="A160" s="179"/>
      <c r="B160" s="179"/>
      <c r="C160" s="179"/>
      <c r="D160" s="179"/>
      <c r="E160" s="179"/>
      <c r="F160" s="179"/>
      <c r="G160" s="179"/>
      <c r="H160" s="179"/>
      <c r="I160" s="181"/>
      <c r="J160" s="179"/>
      <c r="K160" s="179"/>
      <c r="L160" s="182"/>
      <c r="M160" s="182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32"/>
      <c r="Z160" s="179"/>
      <c r="AA160" s="179"/>
      <c r="AB160" s="179"/>
      <c r="AC160" s="179"/>
      <c r="AD160" s="132"/>
      <c r="AE160" s="179"/>
      <c r="AF160" s="179"/>
    </row>
    <row r="161" ht="12.75" customHeight="1" spans="1:32" x14ac:dyDescent="0.25">
      <c r="A161" s="179"/>
      <c r="B161" s="179"/>
      <c r="C161" s="179"/>
      <c r="D161" s="179"/>
      <c r="E161" s="179"/>
      <c r="F161" s="179"/>
      <c r="G161" s="179"/>
      <c r="H161" s="179"/>
      <c r="I161" s="181"/>
      <c r="J161" s="179"/>
      <c r="K161" s="179"/>
      <c r="L161" s="182"/>
      <c r="M161" s="182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32"/>
      <c r="Z161" s="179"/>
      <c r="AA161" s="179"/>
      <c r="AB161" s="179"/>
      <c r="AC161" s="179"/>
      <c r="AD161" s="132"/>
      <c r="AE161" s="179"/>
      <c r="AF161" s="179"/>
    </row>
    <row r="162" ht="12.75" customHeight="1" spans="1:32" x14ac:dyDescent="0.25">
      <c r="A162" s="179"/>
      <c r="B162" s="179"/>
      <c r="C162" s="179"/>
      <c r="D162" s="179"/>
      <c r="E162" s="179"/>
      <c r="F162" s="179"/>
      <c r="G162" s="179"/>
      <c r="H162" s="179"/>
      <c r="I162" s="181"/>
      <c r="J162" s="179"/>
      <c r="K162" s="179"/>
      <c r="L162" s="182"/>
      <c r="M162" s="182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32"/>
      <c r="Z162" s="179"/>
      <c r="AA162" s="179"/>
      <c r="AB162" s="179"/>
      <c r="AC162" s="179"/>
      <c r="AD162" s="132"/>
      <c r="AE162" s="179"/>
      <c r="AF162" s="179"/>
    </row>
    <row r="163" ht="12.75" customHeight="1" spans="1:32" x14ac:dyDescent="0.25">
      <c r="A163" s="179"/>
      <c r="B163" s="179"/>
      <c r="C163" s="179"/>
      <c r="D163" s="179"/>
      <c r="E163" s="179"/>
      <c r="F163" s="179"/>
      <c r="G163" s="179"/>
      <c r="H163" s="179"/>
      <c r="I163" s="181"/>
      <c r="J163" s="179"/>
      <c r="K163" s="179"/>
      <c r="L163" s="182"/>
      <c r="M163" s="182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32"/>
      <c r="Z163" s="179"/>
      <c r="AA163" s="179"/>
      <c r="AB163" s="179"/>
      <c r="AC163" s="179"/>
      <c r="AD163" s="132"/>
      <c r="AE163" s="179"/>
      <c r="AF163" s="179"/>
    </row>
    <row r="164" ht="12.75" customHeight="1" spans="1:32" x14ac:dyDescent="0.25">
      <c r="A164" s="179"/>
      <c r="B164" s="179"/>
      <c r="C164" s="179"/>
      <c r="D164" s="179"/>
      <c r="E164" s="179"/>
      <c r="F164" s="179"/>
      <c r="G164" s="179"/>
      <c r="H164" s="179"/>
      <c r="I164" s="181"/>
      <c r="J164" s="179"/>
      <c r="K164" s="179"/>
      <c r="L164" s="182"/>
      <c r="M164" s="182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32"/>
      <c r="Z164" s="179"/>
      <c r="AA164" s="179"/>
      <c r="AB164" s="179"/>
      <c r="AC164" s="179"/>
      <c r="AD164" s="132"/>
      <c r="AE164" s="179"/>
      <c r="AF164" s="179"/>
    </row>
    <row r="165" ht="12.75" customHeight="1" spans="1:32" x14ac:dyDescent="0.25">
      <c r="A165" s="179"/>
      <c r="B165" s="179"/>
      <c r="C165" s="179"/>
      <c r="D165" s="179"/>
      <c r="E165" s="179"/>
      <c r="F165" s="179"/>
      <c r="G165" s="179"/>
      <c r="H165" s="179"/>
      <c r="I165" s="181"/>
      <c r="J165" s="179"/>
      <c r="K165" s="179"/>
      <c r="L165" s="182"/>
      <c r="M165" s="182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32"/>
      <c r="Z165" s="179"/>
      <c r="AA165" s="179"/>
      <c r="AB165" s="179"/>
      <c r="AC165" s="179"/>
      <c r="AD165" s="132"/>
      <c r="AE165" s="179"/>
      <c r="AF165" s="179"/>
    </row>
    <row r="166" ht="12.75" customHeight="1" spans="1:32" x14ac:dyDescent="0.25">
      <c r="A166" s="179"/>
      <c r="B166" s="179"/>
      <c r="C166" s="179"/>
      <c r="D166" s="179"/>
      <c r="E166" s="179"/>
      <c r="F166" s="179"/>
      <c r="G166" s="179"/>
      <c r="H166" s="179"/>
      <c r="I166" s="181"/>
      <c r="J166" s="179"/>
      <c r="K166" s="179"/>
      <c r="L166" s="182"/>
      <c r="M166" s="182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32"/>
      <c r="Z166" s="179"/>
      <c r="AA166" s="179"/>
      <c r="AB166" s="179"/>
      <c r="AC166" s="179"/>
      <c r="AD166" s="132"/>
      <c r="AE166" s="179"/>
      <c r="AF166" s="179"/>
    </row>
    <row r="167" ht="12.75" customHeight="1" spans="1:32" x14ac:dyDescent="0.25">
      <c r="A167" s="179"/>
      <c r="B167" s="179"/>
      <c r="C167" s="179"/>
      <c r="D167" s="179"/>
      <c r="E167" s="179"/>
      <c r="F167" s="179"/>
      <c r="G167" s="179"/>
      <c r="H167" s="179"/>
      <c r="I167" s="181"/>
      <c r="J167" s="179"/>
      <c r="K167" s="179"/>
      <c r="L167" s="182"/>
      <c r="M167" s="182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32"/>
      <c r="Z167" s="179"/>
      <c r="AA167" s="179"/>
      <c r="AB167" s="179"/>
      <c r="AC167" s="179"/>
      <c r="AD167" s="132"/>
      <c r="AE167" s="179"/>
      <c r="AF167" s="179"/>
    </row>
    <row r="168" ht="12.75" customHeight="1" spans="1:32" x14ac:dyDescent="0.25">
      <c r="A168" s="179"/>
      <c r="B168" s="179"/>
      <c r="C168" s="179"/>
      <c r="D168" s="179"/>
      <c r="E168" s="179"/>
      <c r="F168" s="179"/>
      <c r="G168" s="179"/>
      <c r="H168" s="179"/>
      <c r="I168" s="181"/>
      <c r="J168" s="179"/>
      <c r="K168" s="179"/>
      <c r="L168" s="182"/>
      <c r="M168" s="182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32"/>
      <c r="Z168" s="179"/>
      <c r="AA168" s="179"/>
      <c r="AB168" s="179"/>
      <c r="AC168" s="179"/>
      <c r="AD168" s="132"/>
      <c r="AE168" s="179"/>
      <c r="AF168" s="179"/>
    </row>
    <row r="169" ht="12.75" customHeight="1" spans="1:32" x14ac:dyDescent="0.25">
      <c r="A169" s="179"/>
      <c r="B169" s="179"/>
      <c r="C169" s="179"/>
      <c r="D169" s="179"/>
      <c r="E169" s="179"/>
      <c r="F169" s="179"/>
      <c r="G169" s="179"/>
      <c r="H169" s="179"/>
      <c r="I169" s="181"/>
      <c r="J169" s="179"/>
      <c r="K169" s="179"/>
      <c r="L169" s="182"/>
      <c r="M169" s="182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32"/>
      <c r="Z169" s="179"/>
      <c r="AA169" s="179"/>
      <c r="AB169" s="179"/>
      <c r="AC169" s="179"/>
      <c r="AD169" s="132"/>
      <c r="AE169" s="179"/>
      <c r="AF169" s="179"/>
    </row>
    <row r="170" ht="12.75" customHeight="1" spans="1:32" x14ac:dyDescent="0.25">
      <c r="A170" s="179"/>
      <c r="B170" s="179"/>
      <c r="C170" s="179"/>
      <c r="D170" s="179"/>
      <c r="E170" s="179"/>
      <c r="F170" s="179"/>
      <c r="G170" s="179"/>
      <c r="H170" s="179"/>
      <c r="I170" s="181"/>
      <c r="J170" s="179"/>
      <c r="K170" s="179"/>
      <c r="L170" s="182"/>
      <c r="M170" s="182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32"/>
      <c r="Z170" s="179"/>
      <c r="AA170" s="179"/>
      <c r="AB170" s="179"/>
      <c r="AC170" s="179"/>
      <c r="AD170" s="132"/>
      <c r="AE170" s="179"/>
      <c r="AF170" s="179"/>
    </row>
    <row r="171" ht="12.75" customHeight="1" spans="1:32" x14ac:dyDescent="0.25">
      <c r="A171" s="179"/>
      <c r="B171" s="179"/>
      <c r="C171" s="179"/>
      <c r="D171" s="179"/>
      <c r="E171" s="179"/>
      <c r="F171" s="179"/>
      <c r="G171" s="179"/>
      <c r="H171" s="179"/>
      <c r="I171" s="181"/>
      <c r="J171" s="179"/>
      <c r="K171" s="179"/>
      <c r="L171" s="182"/>
      <c r="M171" s="182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32"/>
      <c r="Z171" s="179"/>
      <c r="AA171" s="179"/>
      <c r="AB171" s="179"/>
      <c r="AC171" s="179"/>
      <c r="AD171" s="132"/>
      <c r="AE171" s="179"/>
      <c r="AF171" s="179"/>
    </row>
    <row r="172" ht="12.75" customHeight="1" spans="1:32" x14ac:dyDescent="0.25">
      <c r="A172" s="179"/>
      <c r="B172" s="179"/>
      <c r="C172" s="179"/>
      <c r="D172" s="179"/>
      <c r="E172" s="179"/>
      <c r="F172" s="179"/>
      <c r="G172" s="179"/>
      <c r="H172" s="179"/>
      <c r="I172" s="181"/>
      <c r="J172" s="179"/>
      <c r="K172" s="179"/>
      <c r="L172" s="182"/>
      <c r="M172" s="182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32"/>
      <c r="Z172" s="179"/>
      <c r="AA172" s="179"/>
      <c r="AB172" s="179"/>
      <c r="AC172" s="179"/>
      <c r="AD172" s="132"/>
      <c r="AE172" s="179"/>
      <c r="AF172" s="179"/>
    </row>
    <row r="173" ht="12.75" customHeight="1" spans="1:32" x14ac:dyDescent="0.25">
      <c r="A173" s="179"/>
      <c r="B173" s="179"/>
      <c r="C173" s="179"/>
      <c r="D173" s="179"/>
      <c r="E173" s="179"/>
      <c r="F173" s="179"/>
      <c r="G173" s="179"/>
      <c r="H173" s="179"/>
      <c r="I173" s="181"/>
      <c r="J173" s="179"/>
      <c r="K173" s="179"/>
      <c r="L173" s="182"/>
      <c r="M173" s="182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32"/>
      <c r="Z173" s="179"/>
      <c r="AA173" s="179"/>
      <c r="AB173" s="179"/>
      <c r="AC173" s="179"/>
      <c r="AD173" s="132"/>
      <c r="AE173" s="179"/>
      <c r="AF173" s="179"/>
    </row>
    <row r="174" ht="12.75" customHeight="1" spans="1:32" x14ac:dyDescent="0.25">
      <c r="A174" s="179"/>
      <c r="B174" s="179"/>
      <c r="C174" s="179"/>
      <c r="D174" s="179"/>
      <c r="E174" s="179"/>
      <c r="F174" s="179"/>
      <c r="G174" s="179"/>
      <c r="H174" s="179"/>
      <c r="I174" s="181"/>
      <c r="J174" s="179"/>
      <c r="K174" s="179"/>
      <c r="L174" s="182"/>
      <c r="M174" s="182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32"/>
      <c r="Z174" s="179"/>
      <c r="AA174" s="179"/>
      <c r="AB174" s="179"/>
      <c r="AC174" s="179"/>
      <c r="AD174" s="132"/>
      <c r="AE174" s="179"/>
      <c r="AF174" s="179"/>
    </row>
    <row r="175" ht="12.75" customHeight="1" spans="1:32" x14ac:dyDescent="0.25">
      <c r="A175" s="179"/>
      <c r="B175" s="179"/>
      <c r="C175" s="179"/>
      <c r="D175" s="179"/>
      <c r="E175" s="179"/>
      <c r="F175" s="179"/>
      <c r="G175" s="179"/>
      <c r="H175" s="179"/>
      <c r="I175" s="181"/>
      <c r="J175" s="179"/>
      <c r="K175" s="179"/>
      <c r="L175" s="182"/>
      <c r="M175" s="182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32"/>
      <c r="Z175" s="179"/>
      <c r="AA175" s="179"/>
      <c r="AB175" s="179"/>
      <c r="AC175" s="179"/>
      <c r="AD175" s="132"/>
      <c r="AE175" s="179"/>
      <c r="AF175" s="179"/>
    </row>
    <row r="176" ht="12.75" customHeight="1" spans="1:32" x14ac:dyDescent="0.25">
      <c r="A176" s="179"/>
      <c r="B176" s="179"/>
      <c r="C176" s="179"/>
      <c r="D176" s="179"/>
      <c r="E176" s="179"/>
      <c r="F176" s="179"/>
      <c r="G176" s="179"/>
      <c r="H176" s="179"/>
      <c r="I176" s="181"/>
      <c r="J176" s="179"/>
      <c r="K176" s="179"/>
      <c r="L176" s="182"/>
      <c r="M176" s="182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32"/>
      <c r="Z176" s="179"/>
      <c r="AA176" s="179"/>
      <c r="AB176" s="179"/>
      <c r="AC176" s="179"/>
      <c r="AD176" s="132"/>
      <c r="AE176" s="179"/>
      <c r="AF176" s="179"/>
    </row>
    <row r="177" ht="12.75" customHeight="1" spans="1:32" x14ac:dyDescent="0.25">
      <c r="A177" s="179"/>
      <c r="B177" s="179"/>
      <c r="C177" s="179"/>
      <c r="D177" s="179"/>
      <c r="E177" s="179"/>
      <c r="F177" s="179"/>
      <c r="G177" s="179"/>
      <c r="H177" s="179"/>
      <c r="I177" s="181"/>
      <c r="J177" s="179"/>
      <c r="K177" s="179"/>
      <c r="L177" s="182"/>
      <c r="M177" s="182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32"/>
      <c r="Z177" s="179"/>
      <c r="AA177" s="179"/>
      <c r="AB177" s="179"/>
      <c r="AC177" s="179"/>
      <c r="AD177" s="132"/>
      <c r="AE177" s="179"/>
      <c r="AF177" s="179"/>
    </row>
    <row r="178" ht="12.75" customHeight="1" spans="1:32" x14ac:dyDescent="0.25">
      <c r="A178" s="179"/>
      <c r="B178" s="179"/>
      <c r="C178" s="179"/>
      <c r="D178" s="179"/>
      <c r="E178" s="179"/>
      <c r="F178" s="179"/>
      <c r="G178" s="179"/>
      <c r="H178" s="179"/>
      <c r="I178" s="181"/>
      <c r="J178" s="179"/>
      <c r="K178" s="179"/>
      <c r="L178" s="182"/>
      <c r="M178" s="182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32"/>
      <c r="Z178" s="179"/>
      <c r="AA178" s="179"/>
      <c r="AB178" s="179"/>
      <c r="AC178" s="179"/>
      <c r="AD178" s="132"/>
      <c r="AE178" s="179"/>
      <c r="AF178" s="179"/>
    </row>
    <row r="179" ht="12.75" customHeight="1" spans="1:32" x14ac:dyDescent="0.25">
      <c r="A179" s="179"/>
      <c r="B179" s="179"/>
      <c r="C179" s="179"/>
      <c r="D179" s="179"/>
      <c r="E179" s="179"/>
      <c r="F179" s="179"/>
      <c r="G179" s="179"/>
      <c r="H179" s="179"/>
      <c r="I179" s="181"/>
      <c r="J179" s="179"/>
      <c r="K179" s="179"/>
      <c r="L179" s="182"/>
      <c r="M179" s="182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32"/>
      <c r="Z179" s="179"/>
      <c r="AA179" s="179"/>
      <c r="AB179" s="179"/>
      <c r="AC179" s="179"/>
      <c r="AD179" s="132"/>
      <c r="AE179" s="179"/>
      <c r="AF179" s="179"/>
    </row>
    <row r="180" ht="12.75" customHeight="1" spans="1:32" x14ac:dyDescent="0.25">
      <c r="A180" s="179"/>
      <c r="B180" s="179"/>
      <c r="C180" s="179"/>
      <c r="D180" s="179"/>
      <c r="E180" s="179"/>
      <c r="F180" s="179"/>
      <c r="G180" s="179"/>
      <c r="H180" s="179"/>
      <c r="I180" s="181"/>
      <c r="J180" s="179"/>
      <c r="K180" s="179"/>
      <c r="L180" s="182"/>
      <c r="M180" s="182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32"/>
      <c r="Z180" s="179"/>
      <c r="AA180" s="179"/>
      <c r="AB180" s="179"/>
      <c r="AC180" s="179"/>
      <c r="AD180" s="132"/>
      <c r="AE180" s="179"/>
      <c r="AF180" s="179"/>
    </row>
    <row r="181" ht="12.75" customHeight="1" spans="1:32" x14ac:dyDescent="0.25">
      <c r="A181" s="179"/>
      <c r="B181" s="179"/>
      <c r="C181" s="179"/>
      <c r="D181" s="179"/>
      <c r="E181" s="179"/>
      <c r="F181" s="179"/>
      <c r="G181" s="179"/>
      <c r="H181" s="179"/>
      <c r="I181" s="181"/>
      <c r="J181" s="179"/>
      <c r="K181" s="179"/>
      <c r="L181" s="182"/>
      <c r="M181" s="182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32"/>
      <c r="Z181" s="179"/>
      <c r="AA181" s="179"/>
      <c r="AB181" s="179"/>
      <c r="AC181" s="179"/>
      <c r="AD181" s="132"/>
      <c r="AE181" s="179"/>
      <c r="AF181" s="179"/>
    </row>
    <row r="182" ht="12.75" customHeight="1" spans="1:32" x14ac:dyDescent="0.25">
      <c r="A182" s="179"/>
      <c r="B182" s="179"/>
      <c r="C182" s="179"/>
      <c r="D182" s="179"/>
      <c r="E182" s="179"/>
      <c r="F182" s="179"/>
      <c r="G182" s="179"/>
      <c r="H182" s="179"/>
      <c r="I182" s="181"/>
      <c r="J182" s="179"/>
      <c r="K182" s="179"/>
      <c r="L182" s="182"/>
      <c r="M182" s="182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32"/>
      <c r="Z182" s="179"/>
      <c r="AA182" s="179"/>
      <c r="AB182" s="179"/>
      <c r="AC182" s="179"/>
      <c r="AD182" s="132"/>
      <c r="AE182" s="179"/>
      <c r="AF182" s="179"/>
    </row>
    <row r="183" ht="12.75" customHeight="1" spans="1:32" x14ac:dyDescent="0.25">
      <c r="A183" s="179"/>
      <c r="B183" s="179"/>
      <c r="C183" s="179"/>
      <c r="D183" s="179"/>
      <c r="E183" s="179"/>
      <c r="F183" s="179"/>
      <c r="G183" s="179"/>
      <c r="H183" s="179"/>
      <c r="I183" s="181"/>
      <c r="J183" s="179"/>
      <c r="K183" s="179"/>
      <c r="L183" s="182"/>
      <c r="M183" s="182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32"/>
      <c r="Z183" s="179"/>
      <c r="AA183" s="179"/>
      <c r="AB183" s="179"/>
      <c r="AC183" s="179"/>
      <c r="AD183" s="132"/>
      <c r="AE183" s="179"/>
      <c r="AF183" s="179"/>
    </row>
    <row r="184" ht="12.75" customHeight="1" spans="1:32" x14ac:dyDescent="0.25">
      <c r="A184" s="179"/>
      <c r="B184" s="179"/>
      <c r="C184" s="179"/>
      <c r="D184" s="179"/>
      <c r="E184" s="179"/>
      <c r="F184" s="179"/>
      <c r="G184" s="179"/>
      <c r="H184" s="179"/>
      <c r="I184" s="181"/>
      <c r="J184" s="179"/>
      <c r="K184" s="179"/>
      <c r="L184" s="182"/>
      <c r="M184" s="182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32"/>
      <c r="Z184" s="179"/>
      <c r="AA184" s="179"/>
      <c r="AB184" s="179"/>
      <c r="AC184" s="179"/>
      <c r="AD184" s="132"/>
      <c r="AE184" s="179"/>
      <c r="AF184" s="179"/>
    </row>
    <row r="185" ht="12.75" customHeight="1" spans="1:32" x14ac:dyDescent="0.25">
      <c r="A185" s="179"/>
      <c r="B185" s="179"/>
      <c r="C185" s="179"/>
      <c r="D185" s="179"/>
      <c r="E185" s="179"/>
      <c r="F185" s="179"/>
      <c r="G185" s="179"/>
      <c r="H185" s="179"/>
      <c r="I185" s="181"/>
      <c r="J185" s="179"/>
      <c r="K185" s="179"/>
      <c r="L185" s="182"/>
      <c r="M185" s="182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32"/>
      <c r="Z185" s="179"/>
      <c r="AA185" s="179"/>
      <c r="AB185" s="179"/>
      <c r="AC185" s="179"/>
      <c r="AD185" s="132"/>
      <c r="AE185" s="179"/>
      <c r="AF185" s="179"/>
    </row>
    <row r="186" ht="12.75" customHeight="1" spans="1:32" x14ac:dyDescent="0.25">
      <c r="A186" s="179"/>
      <c r="B186" s="179"/>
      <c r="C186" s="179"/>
      <c r="D186" s="179"/>
      <c r="E186" s="179"/>
      <c r="F186" s="179"/>
      <c r="G186" s="179"/>
      <c r="H186" s="179"/>
      <c r="I186" s="181"/>
      <c r="J186" s="179"/>
      <c r="K186" s="179"/>
      <c r="L186" s="182"/>
      <c r="M186" s="182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32"/>
      <c r="Z186" s="179"/>
      <c r="AA186" s="179"/>
      <c r="AB186" s="179"/>
      <c r="AC186" s="179"/>
      <c r="AD186" s="132"/>
      <c r="AE186" s="179"/>
      <c r="AF186" s="179"/>
    </row>
    <row r="187" ht="12.75" customHeight="1" spans="1:32" x14ac:dyDescent="0.25">
      <c r="A187" s="179"/>
      <c r="B187" s="179"/>
      <c r="C187" s="179"/>
      <c r="D187" s="179"/>
      <c r="E187" s="179"/>
      <c r="F187" s="179"/>
      <c r="G187" s="179"/>
      <c r="H187" s="179"/>
      <c r="I187" s="181"/>
      <c r="J187" s="179"/>
      <c r="K187" s="179"/>
      <c r="L187" s="182"/>
      <c r="M187" s="182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32"/>
      <c r="Z187" s="179"/>
      <c r="AA187" s="179"/>
      <c r="AB187" s="179"/>
      <c r="AC187" s="179"/>
      <c r="AD187" s="132"/>
      <c r="AE187" s="179"/>
      <c r="AF187" s="179"/>
    </row>
    <row r="188" ht="12.75" customHeight="1" spans="1:32" x14ac:dyDescent="0.25">
      <c r="A188" s="179"/>
      <c r="B188" s="179"/>
      <c r="C188" s="179"/>
      <c r="D188" s="179"/>
      <c r="E188" s="179"/>
      <c r="F188" s="179"/>
      <c r="G188" s="179"/>
      <c r="H188" s="179"/>
      <c r="I188" s="181"/>
      <c r="J188" s="179"/>
      <c r="K188" s="179"/>
      <c r="L188" s="182"/>
      <c r="M188" s="182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32"/>
      <c r="Z188" s="179"/>
      <c r="AA188" s="179"/>
      <c r="AB188" s="179"/>
      <c r="AC188" s="179"/>
      <c r="AD188" s="132"/>
      <c r="AE188" s="179"/>
      <c r="AF188" s="179"/>
    </row>
    <row r="189" ht="12.75" customHeight="1" spans="1:32" x14ac:dyDescent="0.25">
      <c r="A189" s="179"/>
      <c r="B189" s="179"/>
      <c r="C189" s="179"/>
      <c r="D189" s="179"/>
      <c r="E189" s="179"/>
      <c r="F189" s="179"/>
      <c r="G189" s="179"/>
      <c r="H189" s="179"/>
      <c r="I189" s="181"/>
      <c r="J189" s="179"/>
      <c r="K189" s="179"/>
      <c r="L189" s="182"/>
      <c r="M189" s="182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32"/>
      <c r="Z189" s="179"/>
      <c r="AA189" s="179"/>
      <c r="AB189" s="179"/>
      <c r="AC189" s="179"/>
      <c r="AD189" s="132"/>
      <c r="AE189" s="179"/>
      <c r="AF189" s="179"/>
    </row>
    <row r="190" ht="12.75" customHeight="1" spans="1:32" x14ac:dyDescent="0.25">
      <c r="A190" s="179"/>
      <c r="B190" s="179"/>
      <c r="C190" s="179"/>
      <c r="D190" s="179"/>
      <c r="E190" s="179"/>
      <c r="F190" s="179"/>
      <c r="G190" s="179"/>
      <c r="H190" s="179"/>
      <c r="I190" s="181"/>
      <c r="J190" s="179"/>
      <c r="K190" s="179"/>
      <c r="L190" s="182"/>
      <c r="M190" s="182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32"/>
      <c r="Z190" s="179"/>
      <c r="AA190" s="179"/>
      <c r="AB190" s="179"/>
      <c r="AC190" s="179"/>
      <c r="AD190" s="132"/>
      <c r="AE190" s="179"/>
      <c r="AF190" s="179"/>
    </row>
    <row r="191" ht="12.75" customHeight="1" spans="1:32" x14ac:dyDescent="0.25">
      <c r="A191" s="179"/>
      <c r="B191" s="179"/>
      <c r="C191" s="179"/>
      <c r="D191" s="179"/>
      <c r="E191" s="179"/>
      <c r="F191" s="179"/>
      <c r="G191" s="179"/>
      <c r="H191" s="179"/>
      <c r="I191" s="181"/>
      <c r="J191" s="179"/>
      <c r="K191" s="179"/>
      <c r="L191" s="182"/>
      <c r="M191" s="182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32"/>
      <c r="Z191" s="179"/>
      <c r="AA191" s="179"/>
      <c r="AB191" s="179"/>
      <c r="AC191" s="179"/>
      <c r="AD191" s="132"/>
      <c r="AE191" s="179"/>
      <c r="AF191" s="179"/>
    </row>
    <row r="192" ht="12.75" customHeight="1" spans="1:32" x14ac:dyDescent="0.25">
      <c r="A192" s="179"/>
      <c r="B192" s="179"/>
      <c r="C192" s="179"/>
      <c r="D192" s="179"/>
      <c r="E192" s="179"/>
      <c r="F192" s="179"/>
      <c r="G192" s="179"/>
      <c r="H192" s="179"/>
      <c r="I192" s="181"/>
      <c r="J192" s="179"/>
      <c r="K192" s="179"/>
      <c r="L192" s="182"/>
      <c r="M192" s="182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32"/>
      <c r="Z192" s="179"/>
      <c r="AA192" s="179"/>
      <c r="AB192" s="179"/>
      <c r="AC192" s="179"/>
      <c r="AD192" s="132"/>
      <c r="AE192" s="179"/>
      <c r="AF192" s="179"/>
    </row>
    <row r="193" ht="12.75" customHeight="1" spans="1:32" x14ac:dyDescent="0.25">
      <c r="A193" s="179"/>
      <c r="B193" s="179"/>
      <c r="C193" s="179"/>
      <c r="D193" s="179"/>
      <c r="E193" s="179"/>
      <c r="F193" s="179"/>
      <c r="G193" s="179"/>
      <c r="H193" s="179"/>
      <c r="I193" s="181"/>
      <c r="J193" s="179"/>
      <c r="K193" s="179"/>
      <c r="L193" s="182"/>
      <c r="M193" s="182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32"/>
      <c r="Z193" s="179"/>
      <c r="AA193" s="179"/>
      <c r="AB193" s="179"/>
      <c r="AC193" s="179"/>
      <c r="AD193" s="132"/>
      <c r="AE193" s="179"/>
      <c r="AF193" s="179"/>
    </row>
    <row r="194" ht="12.75" customHeight="1" spans="1:32" x14ac:dyDescent="0.25">
      <c r="A194" s="179"/>
      <c r="B194" s="179"/>
      <c r="C194" s="179"/>
      <c r="D194" s="179"/>
      <c r="E194" s="179"/>
      <c r="F194" s="179"/>
      <c r="G194" s="179"/>
      <c r="H194" s="179"/>
      <c r="I194" s="181"/>
      <c r="J194" s="179"/>
      <c r="K194" s="179"/>
      <c r="L194" s="182"/>
      <c r="M194" s="182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32"/>
      <c r="Z194" s="179"/>
      <c r="AA194" s="179"/>
      <c r="AB194" s="179"/>
      <c r="AC194" s="179"/>
      <c r="AD194" s="132"/>
      <c r="AE194" s="179"/>
      <c r="AF194" s="179"/>
    </row>
    <row r="195" ht="12.75" customHeight="1" spans="1:32" x14ac:dyDescent="0.25">
      <c r="A195" s="179"/>
      <c r="B195" s="179"/>
      <c r="C195" s="179"/>
      <c r="D195" s="179"/>
      <c r="E195" s="179"/>
      <c r="F195" s="179"/>
      <c r="G195" s="179"/>
      <c r="H195" s="179"/>
      <c r="I195" s="181"/>
      <c r="J195" s="179"/>
      <c r="K195" s="179"/>
      <c r="L195" s="182"/>
      <c r="M195" s="182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32"/>
      <c r="Z195" s="179"/>
      <c r="AA195" s="179"/>
      <c r="AB195" s="179"/>
      <c r="AC195" s="179"/>
      <c r="AD195" s="132"/>
      <c r="AE195" s="179"/>
      <c r="AF195" s="179"/>
    </row>
    <row r="196" ht="12.75" customHeight="1" spans="1:32" x14ac:dyDescent="0.25">
      <c r="A196" s="179"/>
      <c r="B196" s="179"/>
      <c r="C196" s="179"/>
      <c r="D196" s="179"/>
      <c r="E196" s="179"/>
      <c r="F196" s="179"/>
      <c r="G196" s="179"/>
      <c r="H196" s="179"/>
      <c r="I196" s="181"/>
      <c r="J196" s="179"/>
      <c r="K196" s="179"/>
      <c r="L196" s="182"/>
      <c r="M196" s="182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32"/>
      <c r="Z196" s="179"/>
      <c r="AA196" s="179"/>
      <c r="AB196" s="179"/>
      <c r="AC196" s="179"/>
      <c r="AD196" s="132"/>
      <c r="AE196" s="179"/>
      <c r="AF196" s="179"/>
    </row>
    <row r="197" ht="12.75" customHeight="1" spans="1:32" x14ac:dyDescent="0.25">
      <c r="A197" s="179"/>
      <c r="B197" s="179"/>
      <c r="C197" s="179"/>
      <c r="D197" s="179"/>
      <c r="E197" s="179"/>
      <c r="F197" s="179"/>
      <c r="G197" s="179"/>
      <c r="H197" s="179"/>
      <c r="I197" s="181"/>
      <c r="J197" s="179"/>
      <c r="K197" s="179"/>
      <c r="L197" s="182"/>
      <c r="M197" s="182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32"/>
      <c r="Z197" s="179"/>
      <c r="AA197" s="179"/>
      <c r="AB197" s="179"/>
      <c r="AC197" s="179"/>
      <c r="AD197" s="132"/>
      <c r="AE197" s="179"/>
      <c r="AF197" s="179"/>
    </row>
    <row r="198" ht="12.75" customHeight="1" spans="1:32" x14ac:dyDescent="0.25">
      <c r="A198" s="179"/>
      <c r="B198" s="179"/>
      <c r="C198" s="179"/>
      <c r="D198" s="179"/>
      <c r="E198" s="179"/>
      <c r="F198" s="179"/>
      <c r="G198" s="179"/>
      <c r="H198" s="179"/>
      <c r="I198" s="181"/>
      <c r="J198" s="179"/>
      <c r="K198" s="179"/>
      <c r="L198" s="182"/>
      <c r="M198" s="182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32"/>
      <c r="Z198" s="179"/>
      <c r="AA198" s="179"/>
      <c r="AB198" s="179"/>
      <c r="AC198" s="179"/>
      <c r="AD198" s="132"/>
      <c r="AE198" s="179"/>
      <c r="AF198" s="179"/>
    </row>
    <row r="199" ht="12.75" customHeight="1" spans="1:32" x14ac:dyDescent="0.25">
      <c r="A199" s="179"/>
      <c r="B199" s="179"/>
      <c r="C199" s="179"/>
      <c r="D199" s="179"/>
      <c r="E199" s="179"/>
      <c r="F199" s="179"/>
      <c r="G199" s="179"/>
      <c r="H199" s="179"/>
      <c r="I199" s="181"/>
      <c r="J199" s="179"/>
      <c r="K199" s="179"/>
      <c r="L199" s="182"/>
      <c r="M199" s="182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32"/>
      <c r="Z199" s="179"/>
      <c r="AA199" s="179"/>
      <c r="AB199" s="179"/>
      <c r="AC199" s="179"/>
      <c r="AD199" s="132"/>
      <c r="AE199" s="179"/>
      <c r="AF199" s="179"/>
    </row>
    <row r="200" ht="12.75" customHeight="1" spans="1:32" x14ac:dyDescent="0.25">
      <c r="A200" s="179"/>
      <c r="B200" s="179"/>
      <c r="C200" s="179"/>
      <c r="D200" s="179"/>
      <c r="E200" s="179"/>
      <c r="F200" s="179"/>
      <c r="G200" s="179"/>
      <c r="H200" s="179"/>
      <c r="I200" s="181"/>
      <c r="J200" s="179"/>
      <c r="K200" s="179"/>
      <c r="L200" s="182"/>
      <c r="M200" s="182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32"/>
      <c r="Z200" s="179"/>
      <c r="AA200" s="179"/>
      <c r="AB200" s="179"/>
      <c r="AC200" s="179"/>
      <c r="AD200" s="132"/>
      <c r="AE200" s="179"/>
      <c r="AF200" s="179"/>
    </row>
    <row r="201" ht="12.75" customHeight="1" spans="1:32" x14ac:dyDescent="0.25">
      <c r="A201" s="179"/>
      <c r="B201" s="179"/>
      <c r="C201" s="179"/>
      <c r="D201" s="179"/>
      <c r="E201" s="179"/>
      <c r="F201" s="179"/>
      <c r="G201" s="179"/>
      <c r="H201" s="179"/>
      <c r="I201" s="181"/>
      <c r="J201" s="179"/>
      <c r="K201" s="179"/>
      <c r="L201" s="182"/>
      <c r="M201" s="182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32"/>
      <c r="Z201" s="179"/>
      <c r="AA201" s="179"/>
      <c r="AB201" s="179"/>
      <c r="AC201" s="179"/>
      <c r="AD201" s="132"/>
      <c r="AE201" s="179"/>
      <c r="AF201" s="179"/>
    </row>
    <row r="202" ht="12.75" customHeight="1" spans="1:32" x14ac:dyDescent="0.25">
      <c r="A202" s="179"/>
      <c r="B202" s="179"/>
      <c r="C202" s="179"/>
      <c r="D202" s="179"/>
      <c r="E202" s="179"/>
      <c r="F202" s="179"/>
      <c r="G202" s="179"/>
      <c r="H202" s="179"/>
      <c r="I202" s="181"/>
      <c r="J202" s="179"/>
      <c r="K202" s="179"/>
      <c r="L202" s="182"/>
      <c r="M202" s="182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32"/>
      <c r="Z202" s="179"/>
      <c r="AA202" s="179"/>
      <c r="AB202" s="179"/>
      <c r="AC202" s="179"/>
      <c r="AD202" s="132"/>
      <c r="AE202" s="179"/>
      <c r="AF202" s="179"/>
    </row>
    <row r="203" ht="12.75" customHeight="1" spans="1:32" x14ac:dyDescent="0.25">
      <c r="A203" s="179"/>
      <c r="B203" s="179"/>
      <c r="C203" s="179"/>
      <c r="D203" s="179"/>
      <c r="E203" s="179"/>
      <c r="F203" s="179"/>
      <c r="G203" s="179"/>
      <c r="H203" s="179"/>
      <c r="I203" s="181"/>
      <c r="J203" s="179"/>
      <c r="K203" s="179"/>
      <c r="L203" s="182"/>
      <c r="M203" s="182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32"/>
      <c r="Z203" s="179"/>
      <c r="AA203" s="179"/>
      <c r="AB203" s="179"/>
      <c r="AC203" s="179"/>
      <c r="AD203" s="132"/>
      <c r="AE203" s="179"/>
      <c r="AF203" s="179"/>
    </row>
    <row r="204" ht="12.75" customHeight="1" spans="1:32" x14ac:dyDescent="0.25">
      <c r="A204" s="179"/>
      <c r="B204" s="179"/>
      <c r="C204" s="179"/>
      <c r="D204" s="179"/>
      <c r="E204" s="179"/>
      <c r="F204" s="179"/>
      <c r="G204" s="179"/>
      <c r="H204" s="179"/>
      <c r="I204" s="181"/>
      <c r="J204" s="179"/>
      <c r="K204" s="179"/>
      <c r="L204" s="182"/>
      <c r="M204" s="182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32"/>
      <c r="Z204" s="179"/>
      <c r="AA204" s="179"/>
      <c r="AB204" s="179"/>
      <c r="AC204" s="179"/>
      <c r="AD204" s="132"/>
      <c r="AE204" s="179"/>
      <c r="AF204" s="179"/>
    </row>
    <row r="205" ht="12.75" customHeight="1" spans="1:32" x14ac:dyDescent="0.25">
      <c r="A205" s="179"/>
      <c r="B205" s="179"/>
      <c r="C205" s="179"/>
      <c r="D205" s="179"/>
      <c r="E205" s="179"/>
      <c r="F205" s="179"/>
      <c r="G205" s="179"/>
      <c r="H205" s="179"/>
      <c r="I205" s="181"/>
      <c r="J205" s="179"/>
      <c r="K205" s="179"/>
      <c r="L205" s="182"/>
      <c r="M205" s="182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32"/>
      <c r="Z205" s="179"/>
      <c r="AA205" s="179"/>
      <c r="AB205" s="179"/>
      <c r="AC205" s="179"/>
      <c r="AD205" s="132"/>
      <c r="AE205" s="179"/>
      <c r="AF205" s="179"/>
    </row>
    <row r="206" ht="12.75" customHeight="1" spans="1:32" x14ac:dyDescent="0.25">
      <c r="A206" s="179"/>
      <c r="B206" s="179"/>
      <c r="C206" s="179"/>
      <c r="D206" s="179"/>
      <c r="E206" s="179"/>
      <c r="F206" s="179"/>
      <c r="G206" s="179"/>
      <c r="H206" s="179"/>
      <c r="I206" s="181"/>
      <c r="J206" s="179"/>
      <c r="K206" s="179"/>
      <c r="L206" s="182"/>
      <c r="M206" s="182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32"/>
      <c r="Z206" s="179"/>
      <c r="AA206" s="179"/>
      <c r="AB206" s="179"/>
      <c r="AC206" s="179"/>
      <c r="AD206" s="132"/>
      <c r="AE206" s="179"/>
      <c r="AF206" s="179"/>
    </row>
    <row r="207" ht="12.75" customHeight="1" spans="1:32" x14ac:dyDescent="0.25">
      <c r="A207" s="179"/>
      <c r="B207" s="179"/>
      <c r="C207" s="179"/>
      <c r="D207" s="179"/>
      <c r="E207" s="179"/>
      <c r="F207" s="179"/>
      <c r="G207" s="179"/>
      <c r="H207" s="179"/>
      <c r="I207" s="181"/>
      <c r="J207" s="179"/>
      <c r="K207" s="179"/>
      <c r="L207" s="182"/>
      <c r="M207" s="182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32"/>
      <c r="Z207" s="179"/>
      <c r="AA207" s="179"/>
      <c r="AB207" s="179"/>
      <c r="AC207" s="179"/>
      <c r="AD207" s="132"/>
      <c r="AE207" s="179"/>
      <c r="AF207" s="179"/>
    </row>
    <row r="208" ht="12.75" customHeight="1" spans="1:32" x14ac:dyDescent="0.25">
      <c r="A208" s="179"/>
      <c r="B208" s="179"/>
      <c r="C208" s="179"/>
      <c r="D208" s="179"/>
      <c r="E208" s="179"/>
      <c r="F208" s="179"/>
      <c r="G208" s="179"/>
      <c r="H208" s="179"/>
      <c r="I208" s="181"/>
      <c r="J208" s="179"/>
      <c r="K208" s="179"/>
      <c r="L208" s="182"/>
      <c r="M208" s="182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32"/>
      <c r="Z208" s="179"/>
      <c r="AA208" s="179"/>
      <c r="AB208" s="179"/>
      <c r="AC208" s="179"/>
      <c r="AD208" s="132"/>
      <c r="AE208" s="179"/>
      <c r="AF208" s="179"/>
    </row>
    <row r="209" ht="12.75" customHeight="1" spans="1:32" x14ac:dyDescent="0.25">
      <c r="A209" s="179"/>
      <c r="B209" s="179"/>
      <c r="C209" s="179"/>
      <c r="D209" s="179"/>
      <c r="E209" s="179"/>
      <c r="F209" s="179"/>
      <c r="G209" s="179"/>
      <c r="H209" s="179"/>
      <c r="I209" s="181"/>
      <c r="J209" s="179"/>
      <c r="K209" s="179"/>
      <c r="L209" s="182"/>
      <c r="M209" s="182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32"/>
      <c r="Z209" s="179"/>
      <c r="AA209" s="179"/>
      <c r="AB209" s="179"/>
      <c r="AC209" s="179"/>
      <c r="AD209" s="132"/>
      <c r="AE209" s="179"/>
      <c r="AF209" s="179"/>
    </row>
    <row r="210" ht="12.75" customHeight="1" spans="1:32" x14ac:dyDescent="0.25">
      <c r="A210" s="179"/>
      <c r="B210" s="179"/>
      <c r="C210" s="179"/>
      <c r="D210" s="179"/>
      <c r="E210" s="179"/>
      <c r="F210" s="179"/>
      <c r="G210" s="179"/>
      <c r="H210" s="179"/>
      <c r="I210" s="181"/>
      <c r="J210" s="179"/>
      <c r="K210" s="179"/>
      <c r="L210" s="182"/>
      <c r="M210" s="182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32"/>
      <c r="Z210" s="179"/>
      <c r="AA210" s="179"/>
      <c r="AB210" s="179"/>
      <c r="AC210" s="179"/>
      <c r="AD210" s="132"/>
      <c r="AE210" s="179"/>
      <c r="AF210" s="179"/>
    </row>
    <row r="211" ht="12.75" customHeight="1" spans="1:32" x14ac:dyDescent="0.25">
      <c r="A211" s="179"/>
      <c r="B211" s="179"/>
      <c r="C211" s="179"/>
      <c r="D211" s="179"/>
      <c r="E211" s="179"/>
      <c r="F211" s="179"/>
      <c r="G211" s="179"/>
      <c r="H211" s="179"/>
      <c r="I211" s="181"/>
      <c r="J211" s="179"/>
      <c r="K211" s="179"/>
      <c r="L211" s="182"/>
      <c r="M211" s="182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32"/>
      <c r="Z211" s="179"/>
      <c r="AA211" s="179"/>
      <c r="AB211" s="179"/>
      <c r="AC211" s="179"/>
      <c r="AD211" s="132"/>
      <c r="AE211" s="179"/>
      <c r="AF211" s="179"/>
    </row>
    <row r="212" ht="12.75" customHeight="1" spans="1:32" x14ac:dyDescent="0.25">
      <c r="A212" s="179"/>
      <c r="B212" s="179"/>
      <c r="C212" s="179"/>
      <c r="D212" s="179"/>
      <c r="E212" s="179"/>
      <c r="F212" s="179"/>
      <c r="G212" s="179"/>
      <c r="H212" s="179"/>
      <c r="I212" s="181"/>
      <c r="J212" s="179"/>
      <c r="K212" s="179"/>
      <c r="L212" s="182"/>
      <c r="M212" s="182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32"/>
      <c r="Z212" s="179"/>
      <c r="AA212" s="179"/>
      <c r="AB212" s="179"/>
      <c r="AC212" s="179"/>
      <c r="AD212" s="132"/>
      <c r="AE212" s="179"/>
      <c r="AF212" s="179"/>
    </row>
    <row r="213" ht="12.75" customHeight="1" spans="1:32" x14ac:dyDescent="0.25">
      <c r="A213" s="179"/>
      <c r="B213" s="179"/>
      <c r="C213" s="179"/>
      <c r="D213" s="179"/>
      <c r="E213" s="179"/>
      <c r="F213" s="179"/>
      <c r="G213" s="179"/>
      <c r="H213" s="179"/>
      <c r="I213" s="181"/>
      <c r="J213" s="179"/>
      <c r="K213" s="179"/>
      <c r="L213" s="182"/>
      <c r="M213" s="182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32"/>
      <c r="Z213" s="179"/>
      <c r="AA213" s="179"/>
      <c r="AB213" s="179"/>
      <c r="AC213" s="179"/>
      <c r="AD213" s="132"/>
      <c r="AE213" s="179"/>
      <c r="AF213" s="179"/>
    </row>
    <row r="214" ht="12.75" customHeight="1" spans="1:32" x14ac:dyDescent="0.25">
      <c r="A214" s="179"/>
      <c r="B214" s="179"/>
      <c r="C214" s="179"/>
      <c r="D214" s="179"/>
      <c r="E214" s="179"/>
      <c r="F214" s="179"/>
      <c r="G214" s="179"/>
      <c r="H214" s="179"/>
      <c r="I214" s="181"/>
      <c r="J214" s="179"/>
      <c r="K214" s="179"/>
      <c r="L214" s="182"/>
      <c r="M214" s="182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32"/>
      <c r="Z214" s="179"/>
      <c r="AA214" s="179"/>
      <c r="AB214" s="179"/>
      <c r="AC214" s="179"/>
      <c r="AD214" s="132"/>
      <c r="AE214" s="179"/>
      <c r="AF214" s="179"/>
    </row>
    <row r="215" ht="12.75" customHeight="1" spans="1:32" x14ac:dyDescent="0.25">
      <c r="A215" s="179"/>
      <c r="B215" s="179"/>
      <c r="C215" s="179"/>
      <c r="D215" s="179"/>
      <c r="E215" s="179"/>
      <c r="F215" s="179"/>
      <c r="G215" s="179"/>
      <c r="H215" s="179"/>
      <c r="I215" s="181"/>
      <c r="J215" s="179"/>
      <c r="K215" s="179"/>
      <c r="L215" s="182"/>
      <c r="M215" s="182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32"/>
      <c r="Z215" s="179"/>
      <c r="AA215" s="179"/>
      <c r="AB215" s="179"/>
      <c r="AC215" s="179"/>
      <c r="AD215" s="132"/>
      <c r="AE215" s="179"/>
      <c r="AF215" s="179"/>
    </row>
    <row r="216" ht="12.75" customHeight="1" spans="1:32" x14ac:dyDescent="0.25">
      <c r="A216" s="179"/>
      <c r="B216" s="179"/>
      <c r="C216" s="179"/>
      <c r="D216" s="179"/>
      <c r="E216" s="179"/>
      <c r="F216" s="179"/>
      <c r="G216" s="179"/>
      <c r="H216" s="179"/>
      <c r="I216" s="181"/>
      <c r="J216" s="179"/>
      <c r="K216" s="179"/>
      <c r="L216" s="182"/>
      <c r="M216" s="182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32"/>
      <c r="Z216" s="179"/>
      <c r="AA216" s="179"/>
      <c r="AB216" s="179"/>
      <c r="AC216" s="179"/>
      <c r="AD216" s="132"/>
      <c r="AE216" s="179"/>
      <c r="AF216" s="179"/>
    </row>
    <row r="217" ht="12.75" customHeight="1" spans="1:32" x14ac:dyDescent="0.25">
      <c r="A217" s="179"/>
      <c r="B217" s="179"/>
      <c r="C217" s="179"/>
      <c r="D217" s="179"/>
      <c r="E217" s="179"/>
      <c r="F217" s="179"/>
      <c r="G217" s="179"/>
      <c r="H217" s="179"/>
      <c r="I217" s="181"/>
      <c r="J217" s="179"/>
      <c r="K217" s="179"/>
      <c r="L217" s="182"/>
      <c r="M217" s="182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32"/>
      <c r="Z217" s="179"/>
      <c r="AA217" s="179"/>
      <c r="AB217" s="179"/>
      <c r="AC217" s="179"/>
      <c r="AD217" s="132"/>
      <c r="AE217" s="179"/>
      <c r="AF217" s="179"/>
    </row>
    <row r="218" ht="12.75" customHeight="1" spans="1:32" x14ac:dyDescent="0.25">
      <c r="A218" s="179"/>
      <c r="B218" s="179"/>
      <c r="C218" s="179"/>
      <c r="D218" s="179"/>
      <c r="E218" s="179"/>
      <c r="F218" s="179"/>
      <c r="G218" s="179"/>
      <c r="H218" s="179"/>
      <c r="I218" s="181"/>
      <c r="J218" s="179"/>
      <c r="K218" s="179"/>
      <c r="L218" s="182"/>
      <c r="M218" s="182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32"/>
      <c r="Z218" s="179"/>
      <c r="AA218" s="179"/>
      <c r="AB218" s="179"/>
      <c r="AC218" s="179"/>
      <c r="AD218" s="132"/>
      <c r="AE218" s="179"/>
      <c r="AF218" s="179"/>
    </row>
    <row r="219" ht="12.75" customHeight="1" spans="1:32" x14ac:dyDescent="0.25">
      <c r="A219" s="179"/>
      <c r="B219" s="179"/>
      <c r="C219" s="179"/>
      <c r="D219" s="179"/>
      <c r="E219" s="179"/>
      <c r="F219" s="179"/>
      <c r="G219" s="179"/>
      <c r="H219" s="179"/>
      <c r="I219" s="181"/>
      <c r="J219" s="179"/>
      <c r="K219" s="179"/>
      <c r="L219" s="182"/>
      <c r="M219" s="182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32"/>
      <c r="Z219" s="179"/>
      <c r="AA219" s="179"/>
      <c r="AB219" s="179"/>
      <c r="AC219" s="179"/>
      <c r="AD219" s="132"/>
      <c r="AE219" s="179"/>
      <c r="AF219" s="179"/>
    </row>
    <row r="220" ht="12.75" customHeight="1" spans="1:32" x14ac:dyDescent="0.25">
      <c r="A220" s="179"/>
      <c r="B220" s="179"/>
      <c r="C220" s="179"/>
      <c r="D220" s="179"/>
      <c r="E220" s="179"/>
      <c r="F220" s="179"/>
      <c r="G220" s="179"/>
      <c r="H220" s="179"/>
      <c r="I220" s="181"/>
      <c r="J220" s="179"/>
      <c r="K220" s="179"/>
      <c r="L220" s="182"/>
      <c r="M220" s="182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32"/>
      <c r="Z220" s="179"/>
      <c r="AA220" s="179"/>
      <c r="AB220" s="179"/>
      <c r="AC220" s="179"/>
      <c r="AD220" s="132"/>
      <c r="AE220" s="179"/>
      <c r="AF220" s="179"/>
    </row>
    <row r="221" ht="12.75" customHeight="1" spans="1:32" x14ac:dyDescent="0.25">
      <c r="A221" s="179"/>
      <c r="B221" s="179"/>
      <c r="C221" s="179"/>
      <c r="D221" s="179"/>
      <c r="E221" s="179"/>
      <c r="F221" s="179"/>
      <c r="G221" s="179"/>
      <c r="H221" s="179"/>
      <c r="I221" s="181"/>
      <c r="J221" s="179"/>
      <c r="K221" s="179"/>
      <c r="L221" s="182"/>
      <c r="M221" s="182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32"/>
      <c r="Z221" s="179"/>
      <c r="AA221" s="179"/>
      <c r="AB221" s="179"/>
      <c r="AC221" s="179"/>
      <c r="AD221" s="132"/>
      <c r="AE221" s="179"/>
      <c r="AF221" s="179"/>
    </row>
    <row r="222" ht="12.75" customHeight="1" spans="1:32" x14ac:dyDescent="0.25">
      <c r="A222" s="179"/>
      <c r="B222" s="179"/>
      <c r="C222" s="179"/>
      <c r="D222" s="179"/>
      <c r="E222" s="179"/>
      <c r="F222" s="179"/>
      <c r="G222" s="179"/>
      <c r="H222" s="179"/>
      <c r="I222" s="181"/>
      <c r="J222" s="179"/>
      <c r="K222" s="179"/>
      <c r="L222" s="182"/>
      <c r="M222" s="182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32"/>
      <c r="Z222" s="179"/>
      <c r="AA222" s="179"/>
      <c r="AB222" s="179"/>
      <c r="AC222" s="179"/>
      <c r="AD222" s="132"/>
      <c r="AE222" s="179"/>
      <c r="AF222" s="179"/>
    </row>
    <row r="223" ht="12.75" customHeight="1" spans="1:32" x14ac:dyDescent="0.25">
      <c r="A223" s="179"/>
      <c r="B223" s="179"/>
      <c r="C223" s="179"/>
      <c r="D223" s="179"/>
      <c r="E223" s="179"/>
      <c r="F223" s="179"/>
      <c r="G223" s="179"/>
      <c r="H223" s="179"/>
      <c r="I223" s="181"/>
      <c r="J223" s="179"/>
      <c r="K223" s="179"/>
      <c r="L223" s="182"/>
      <c r="M223" s="182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32"/>
      <c r="Z223" s="179"/>
      <c r="AA223" s="179"/>
      <c r="AB223" s="179"/>
      <c r="AC223" s="179"/>
      <c r="AD223" s="132"/>
      <c r="AE223" s="179"/>
      <c r="AF223" s="179"/>
    </row>
    <row r="224" ht="12.75" customHeight="1" spans="1:32" x14ac:dyDescent="0.25">
      <c r="A224" s="179"/>
      <c r="B224" s="179"/>
      <c r="C224" s="179"/>
      <c r="D224" s="179"/>
      <c r="E224" s="179"/>
      <c r="F224" s="179"/>
      <c r="G224" s="179"/>
      <c r="H224" s="179"/>
      <c r="I224" s="181"/>
      <c r="J224" s="179"/>
      <c r="K224" s="179"/>
      <c r="L224" s="182"/>
      <c r="M224" s="182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32"/>
      <c r="Z224" s="179"/>
      <c r="AA224" s="179"/>
      <c r="AB224" s="179"/>
      <c r="AC224" s="179"/>
      <c r="AD224" s="132"/>
      <c r="AE224" s="179"/>
      <c r="AF224" s="179"/>
    </row>
    <row r="225" ht="12.75" customHeight="1" spans="1:32" x14ac:dyDescent="0.25">
      <c r="A225" s="179"/>
      <c r="B225" s="179"/>
      <c r="C225" s="179"/>
      <c r="D225" s="179"/>
      <c r="E225" s="179"/>
      <c r="F225" s="179"/>
      <c r="G225" s="179"/>
      <c r="H225" s="179"/>
      <c r="I225" s="181"/>
      <c r="J225" s="179"/>
      <c r="K225" s="179"/>
      <c r="L225" s="182"/>
      <c r="M225" s="182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32"/>
      <c r="Z225" s="179"/>
      <c r="AA225" s="179"/>
      <c r="AB225" s="179"/>
      <c r="AC225" s="179"/>
      <c r="AD225" s="132"/>
      <c r="AE225" s="179"/>
      <c r="AF225" s="179"/>
    </row>
    <row r="226" ht="12.75" customHeight="1" spans="1:32" x14ac:dyDescent="0.25">
      <c r="A226" s="179"/>
      <c r="B226" s="179"/>
      <c r="C226" s="179"/>
      <c r="D226" s="179"/>
      <c r="E226" s="179"/>
      <c r="F226" s="179"/>
      <c r="G226" s="179"/>
      <c r="H226" s="179"/>
      <c r="I226" s="181"/>
      <c r="J226" s="179"/>
      <c r="K226" s="179"/>
      <c r="L226" s="182"/>
      <c r="M226" s="182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32"/>
      <c r="Z226" s="179"/>
      <c r="AA226" s="179"/>
      <c r="AB226" s="179"/>
      <c r="AC226" s="179"/>
      <c r="AD226" s="132"/>
      <c r="AE226" s="179"/>
      <c r="AF226" s="179"/>
    </row>
    <row r="227" ht="12.75" customHeight="1" spans="1:32" x14ac:dyDescent="0.25">
      <c r="A227" s="179"/>
      <c r="B227" s="179"/>
      <c r="C227" s="179"/>
      <c r="D227" s="179"/>
      <c r="E227" s="179"/>
      <c r="F227" s="179"/>
      <c r="G227" s="179"/>
      <c r="H227" s="179"/>
      <c r="I227" s="181"/>
      <c r="J227" s="179"/>
      <c r="K227" s="179"/>
      <c r="L227" s="182"/>
      <c r="M227" s="182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32"/>
      <c r="Z227" s="179"/>
      <c r="AA227" s="179"/>
      <c r="AB227" s="179"/>
      <c r="AC227" s="179"/>
      <c r="AD227" s="132"/>
      <c r="AE227" s="179"/>
      <c r="AF227" s="179"/>
    </row>
    <row r="228" ht="12.75" customHeight="1" spans="1:32" x14ac:dyDescent="0.25">
      <c r="A228" s="179"/>
      <c r="B228" s="179"/>
      <c r="C228" s="179"/>
      <c r="D228" s="179"/>
      <c r="E228" s="179"/>
      <c r="F228" s="179"/>
      <c r="G228" s="179"/>
      <c r="H228" s="179"/>
      <c r="I228" s="181"/>
      <c r="J228" s="179"/>
      <c r="K228" s="179"/>
      <c r="L228" s="182"/>
      <c r="M228" s="182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32"/>
      <c r="Z228" s="179"/>
      <c r="AA228" s="179"/>
      <c r="AB228" s="179"/>
      <c r="AC228" s="179"/>
      <c r="AD228" s="132"/>
      <c r="AE228" s="179"/>
      <c r="AF228" s="179"/>
    </row>
    <row r="229" ht="12.75" customHeight="1" spans="1:32" x14ac:dyDescent="0.25">
      <c r="A229" s="179"/>
      <c r="B229" s="179"/>
      <c r="C229" s="179"/>
      <c r="D229" s="179"/>
      <c r="E229" s="179"/>
      <c r="F229" s="179"/>
      <c r="G229" s="179"/>
      <c r="H229" s="179"/>
      <c r="I229" s="181"/>
      <c r="J229" s="179"/>
      <c r="K229" s="179"/>
      <c r="L229" s="182"/>
      <c r="M229" s="182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32"/>
      <c r="Z229" s="179"/>
      <c r="AA229" s="179"/>
      <c r="AB229" s="179"/>
      <c r="AC229" s="179"/>
      <c r="AD229" s="132"/>
      <c r="AE229" s="179"/>
      <c r="AF229" s="179"/>
    </row>
    <row r="230" ht="12.75" customHeight="1" spans="1:32" x14ac:dyDescent="0.25">
      <c r="A230" s="179"/>
      <c r="B230" s="179"/>
      <c r="C230" s="179"/>
      <c r="D230" s="179"/>
      <c r="E230" s="179"/>
      <c r="F230" s="179"/>
      <c r="G230" s="179"/>
      <c r="H230" s="179"/>
      <c r="I230" s="181"/>
      <c r="J230" s="179"/>
      <c r="K230" s="179"/>
      <c r="L230" s="182"/>
      <c r="M230" s="182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32"/>
      <c r="Z230" s="179"/>
      <c r="AA230" s="179"/>
      <c r="AB230" s="179"/>
      <c r="AC230" s="179"/>
      <c r="AD230" s="132"/>
      <c r="AE230" s="179"/>
      <c r="AF230" s="179"/>
    </row>
    <row r="231" ht="12.75" customHeight="1" spans="1:32" x14ac:dyDescent="0.25">
      <c r="A231" s="179"/>
      <c r="B231" s="179"/>
      <c r="C231" s="179"/>
      <c r="D231" s="179"/>
      <c r="E231" s="179"/>
      <c r="F231" s="179"/>
      <c r="G231" s="179"/>
      <c r="H231" s="179"/>
      <c r="I231" s="181"/>
      <c r="J231" s="179"/>
      <c r="K231" s="179"/>
      <c r="L231" s="182"/>
      <c r="M231" s="182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32"/>
      <c r="Z231" s="179"/>
      <c r="AA231" s="179"/>
      <c r="AB231" s="179"/>
      <c r="AC231" s="179"/>
      <c r="AD231" s="132"/>
      <c r="AE231" s="179"/>
      <c r="AF231" s="179"/>
    </row>
    <row r="232" ht="12.75" customHeight="1" spans="1:32" x14ac:dyDescent="0.25">
      <c r="A232" s="179"/>
      <c r="B232" s="179"/>
      <c r="C232" s="179"/>
      <c r="D232" s="179"/>
      <c r="E232" s="179"/>
      <c r="F232" s="179"/>
      <c r="G232" s="179"/>
      <c r="H232" s="179"/>
      <c r="I232" s="181"/>
      <c r="J232" s="179"/>
      <c r="K232" s="179"/>
      <c r="L232" s="182"/>
      <c r="M232" s="182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32"/>
      <c r="Z232" s="179"/>
      <c r="AA232" s="179"/>
      <c r="AB232" s="179"/>
      <c r="AC232" s="179"/>
      <c r="AD232" s="132"/>
      <c r="AE232" s="179"/>
      <c r="AF232" s="179"/>
    </row>
    <row r="233" ht="12.75" customHeight="1" spans="1:32" x14ac:dyDescent="0.25">
      <c r="A233" s="179"/>
      <c r="B233" s="179"/>
      <c r="C233" s="179"/>
      <c r="D233" s="179"/>
      <c r="E233" s="179"/>
      <c r="F233" s="179"/>
      <c r="G233" s="179"/>
      <c r="H233" s="179"/>
      <c r="I233" s="181"/>
      <c r="J233" s="179"/>
      <c r="K233" s="179"/>
      <c r="L233" s="182"/>
      <c r="M233" s="182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32"/>
      <c r="Z233" s="179"/>
      <c r="AA233" s="179"/>
      <c r="AB233" s="179"/>
      <c r="AC233" s="179"/>
      <c r="AD233" s="132"/>
      <c r="AE233" s="179"/>
      <c r="AF233" s="179"/>
    </row>
    <row r="234" ht="12.75" customHeight="1" spans="1:32" x14ac:dyDescent="0.25">
      <c r="A234" s="179"/>
      <c r="B234" s="179"/>
      <c r="C234" s="179"/>
      <c r="D234" s="179"/>
      <c r="E234" s="179"/>
      <c r="F234" s="179"/>
      <c r="G234" s="179"/>
      <c r="H234" s="179"/>
      <c r="I234" s="181"/>
      <c r="J234" s="179"/>
      <c r="K234" s="179"/>
      <c r="L234" s="182"/>
      <c r="M234" s="182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32"/>
      <c r="Z234" s="179"/>
      <c r="AA234" s="179"/>
      <c r="AB234" s="179"/>
      <c r="AC234" s="179"/>
      <c r="AD234" s="132"/>
      <c r="AE234" s="179"/>
      <c r="AF234" s="179"/>
    </row>
    <row r="235" ht="12.75" customHeight="1" spans="1:32" x14ac:dyDescent="0.25">
      <c r="A235" s="179"/>
      <c r="B235" s="179"/>
      <c r="C235" s="179"/>
      <c r="D235" s="179"/>
      <c r="E235" s="179"/>
      <c r="F235" s="179"/>
      <c r="G235" s="179"/>
      <c r="H235" s="179"/>
      <c r="I235" s="181"/>
      <c r="J235" s="179"/>
      <c r="K235" s="179"/>
      <c r="L235" s="182"/>
      <c r="M235" s="182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32"/>
      <c r="Z235" s="179"/>
      <c r="AA235" s="179"/>
      <c r="AB235" s="179"/>
      <c r="AC235" s="179"/>
      <c r="AD235" s="132"/>
      <c r="AE235" s="179"/>
      <c r="AF235" s="179"/>
    </row>
    <row r="236" ht="12.75" customHeight="1" spans="1:32" x14ac:dyDescent="0.25">
      <c r="A236" s="179"/>
      <c r="B236" s="179"/>
      <c r="C236" s="179"/>
      <c r="D236" s="179"/>
      <c r="E236" s="179"/>
      <c r="F236" s="179"/>
      <c r="G236" s="179"/>
      <c r="H236" s="179"/>
      <c r="I236" s="181"/>
      <c r="J236" s="179"/>
      <c r="K236" s="179"/>
      <c r="L236" s="182"/>
      <c r="M236" s="182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32"/>
      <c r="Z236" s="179"/>
      <c r="AA236" s="179"/>
      <c r="AB236" s="179"/>
      <c r="AC236" s="179"/>
      <c r="AD236" s="132"/>
      <c r="AE236" s="179"/>
      <c r="AF236" s="179"/>
    </row>
    <row r="237" ht="12.75" customHeight="1" spans="1:32" x14ac:dyDescent="0.25">
      <c r="A237" s="179"/>
      <c r="B237" s="179"/>
      <c r="C237" s="179"/>
      <c r="D237" s="179"/>
      <c r="E237" s="179"/>
      <c r="F237" s="179"/>
      <c r="G237" s="179"/>
      <c r="H237" s="179"/>
      <c r="I237" s="181"/>
      <c r="J237" s="179"/>
      <c r="K237" s="179"/>
      <c r="L237" s="182"/>
      <c r="M237" s="182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32"/>
      <c r="Z237" s="179"/>
      <c r="AA237" s="179"/>
      <c r="AB237" s="179"/>
      <c r="AC237" s="179"/>
      <c r="AD237" s="132"/>
      <c r="AE237" s="179"/>
      <c r="AF237" s="179"/>
    </row>
    <row r="238" ht="12.75" customHeight="1" spans="1:32" x14ac:dyDescent="0.25">
      <c r="A238" s="179"/>
      <c r="B238" s="179"/>
      <c r="C238" s="179"/>
      <c r="D238" s="179"/>
      <c r="E238" s="179"/>
      <c r="F238" s="179"/>
      <c r="G238" s="179"/>
      <c r="H238" s="179"/>
      <c r="I238" s="181"/>
      <c r="J238" s="179"/>
      <c r="K238" s="179"/>
      <c r="L238" s="182"/>
      <c r="M238" s="182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32"/>
      <c r="Z238" s="179"/>
      <c r="AA238" s="179"/>
      <c r="AB238" s="179"/>
      <c r="AC238" s="179"/>
      <c r="AD238" s="132"/>
      <c r="AE238" s="179"/>
      <c r="AF238" s="179"/>
    </row>
    <row r="239" ht="12.75" customHeight="1" spans="1:32" x14ac:dyDescent="0.25">
      <c r="A239" s="179"/>
      <c r="B239" s="179"/>
      <c r="C239" s="179"/>
      <c r="D239" s="179"/>
      <c r="E239" s="179"/>
      <c r="F239" s="179"/>
      <c r="G239" s="179"/>
      <c r="H239" s="179"/>
      <c r="I239" s="181"/>
      <c r="J239" s="179"/>
      <c r="K239" s="179"/>
      <c r="L239" s="182"/>
      <c r="M239" s="182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32"/>
      <c r="Z239" s="179"/>
      <c r="AA239" s="179"/>
      <c r="AB239" s="179"/>
      <c r="AC239" s="179"/>
      <c r="AD239" s="132"/>
      <c r="AE239" s="179"/>
      <c r="AF239" s="179"/>
    </row>
    <row r="240" ht="12.75" customHeight="1" spans="1:32" x14ac:dyDescent="0.25">
      <c r="A240" s="179"/>
      <c r="B240" s="179"/>
      <c r="C240" s="179"/>
      <c r="D240" s="179"/>
      <c r="E240" s="179"/>
      <c r="F240" s="179"/>
      <c r="G240" s="179"/>
      <c r="H240" s="179"/>
      <c r="I240" s="181"/>
      <c r="J240" s="179"/>
      <c r="K240" s="179"/>
      <c r="L240" s="182"/>
      <c r="M240" s="182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32"/>
      <c r="Z240" s="179"/>
      <c r="AA240" s="179"/>
      <c r="AB240" s="179"/>
      <c r="AC240" s="179"/>
      <c r="AD240" s="132"/>
      <c r="AE240" s="179"/>
      <c r="AF240" s="179"/>
    </row>
    <row r="241" ht="12.75" customHeight="1" spans="1:32" x14ac:dyDescent="0.25">
      <c r="A241" s="179"/>
      <c r="B241" s="179"/>
      <c r="C241" s="179"/>
      <c r="D241" s="179"/>
      <c r="E241" s="179"/>
      <c r="F241" s="179"/>
      <c r="G241" s="179"/>
      <c r="H241" s="179"/>
      <c r="I241" s="181"/>
      <c r="J241" s="179"/>
      <c r="K241" s="179"/>
      <c r="L241" s="182"/>
      <c r="M241" s="182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32"/>
      <c r="Z241" s="179"/>
      <c r="AA241" s="179"/>
      <c r="AB241" s="179"/>
      <c r="AC241" s="179"/>
      <c r="AD241" s="132"/>
      <c r="AE241" s="179"/>
      <c r="AF241" s="179"/>
    </row>
    <row r="242" ht="12.75" customHeight="1" spans="1:32" x14ac:dyDescent="0.25">
      <c r="A242" s="179"/>
      <c r="B242" s="179"/>
      <c r="C242" s="179"/>
      <c r="D242" s="179"/>
      <c r="E242" s="179"/>
      <c r="F242" s="179"/>
      <c r="G242" s="179"/>
      <c r="H242" s="179"/>
      <c r="I242" s="181"/>
      <c r="J242" s="179"/>
      <c r="K242" s="179"/>
      <c r="L242" s="182"/>
      <c r="M242" s="182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32"/>
      <c r="Z242" s="179"/>
      <c r="AA242" s="179"/>
      <c r="AB242" s="179"/>
      <c r="AC242" s="179"/>
      <c r="AD242" s="132"/>
      <c r="AE242" s="179"/>
      <c r="AF242" s="179"/>
    </row>
    <row r="243" ht="12.75" customHeight="1" spans="1:32" x14ac:dyDescent="0.25">
      <c r="A243" s="179"/>
      <c r="B243" s="179"/>
      <c r="C243" s="179"/>
      <c r="D243" s="179"/>
      <c r="E243" s="179"/>
      <c r="F243" s="179"/>
      <c r="G243" s="179"/>
      <c r="H243" s="179"/>
      <c r="I243" s="181"/>
      <c r="J243" s="179"/>
      <c r="K243" s="179"/>
      <c r="L243" s="182"/>
      <c r="M243" s="182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32"/>
      <c r="Z243" s="179"/>
      <c r="AA243" s="179"/>
      <c r="AB243" s="179"/>
      <c r="AC243" s="179"/>
      <c r="AD243" s="132"/>
      <c r="AE243" s="179"/>
      <c r="AF243" s="179"/>
    </row>
    <row r="244" ht="12.75" customHeight="1" spans="1:32" x14ac:dyDescent="0.25">
      <c r="A244" s="179"/>
      <c r="B244" s="179"/>
      <c r="C244" s="179"/>
      <c r="D244" s="179"/>
      <c r="E244" s="179"/>
      <c r="F244" s="179"/>
      <c r="G244" s="179"/>
      <c r="H244" s="179"/>
      <c r="I244" s="181"/>
      <c r="J244" s="179"/>
      <c r="K244" s="179"/>
      <c r="L244" s="182"/>
      <c r="M244" s="182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32"/>
      <c r="Z244" s="179"/>
      <c r="AA244" s="179"/>
      <c r="AB244" s="179"/>
      <c r="AC244" s="179"/>
      <c r="AD244" s="132"/>
      <c r="AE244" s="179"/>
      <c r="AF244" s="179"/>
    </row>
    <row r="245" ht="12.75" customHeight="1" spans="1:32" x14ac:dyDescent="0.25">
      <c r="A245" s="179"/>
      <c r="B245" s="179"/>
      <c r="C245" s="179"/>
      <c r="D245" s="179"/>
      <c r="E245" s="179"/>
      <c r="F245" s="179"/>
      <c r="G245" s="179"/>
      <c r="H245" s="179"/>
      <c r="I245" s="181"/>
      <c r="J245" s="179"/>
      <c r="K245" s="179"/>
      <c r="L245" s="182"/>
      <c r="M245" s="182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32"/>
      <c r="Z245" s="179"/>
      <c r="AA245" s="179"/>
      <c r="AB245" s="179"/>
      <c r="AC245" s="179"/>
      <c r="AD245" s="132"/>
      <c r="AE245" s="179"/>
      <c r="AF245" s="179"/>
    </row>
    <row r="246" ht="12.75" customHeight="1" spans="1:32" x14ac:dyDescent="0.25">
      <c r="A246" s="179"/>
      <c r="B246" s="179"/>
      <c r="C246" s="179"/>
      <c r="D246" s="179"/>
      <c r="E246" s="179"/>
      <c r="F246" s="179"/>
      <c r="G246" s="179"/>
      <c r="H246" s="179"/>
      <c r="I246" s="181"/>
      <c r="J246" s="179"/>
      <c r="K246" s="179"/>
      <c r="L246" s="182"/>
      <c r="M246" s="182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32"/>
      <c r="Z246" s="179"/>
      <c r="AA246" s="179"/>
      <c r="AB246" s="179"/>
      <c r="AC246" s="179"/>
      <c r="AD246" s="132"/>
      <c r="AE246" s="179"/>
      <c r="AF246" s="179"/>
    </row>
    <row r="247" ht="12.75" customHeight="1" spans="1:32" x14ac:dyDescent="0.25">
      <c r="A247" s="179"/>
      <c r="B247" s="179"/>
      <c r="C247" s="179"/>
      <c r="D247" s="179"/>
      <c r="E247" s="179"/>
      <c r="F247" s="179"/>
      <c r="G247" s="179"/>
      <c r="H247" s="179"/>
      <c r="I247" s="181"/>
      <c r="J247" s="179"/>
      <c r="K247" s="179"/>
      <c r="L247" s="182"/>
      <c r="M247" s="182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32"/>
      <c r="Z247" s="179"/>
      <c r="AA247" s="179"/>
      <c r="AB247" s="179"/>
      <c r="AC247" s="179"/>
      <c r="AD247" s="132"/>
      <c r="AE247" s="179"/>
      <c r="AF247" s="179"/>
    </row>
    <row r="248" ht="12.75" customHeight="1" spans="1:32" x14ac:dyDescent="0.25">
      <c r="A248" s="179"/>
      <c r="B248" s="179"/>
      <c r="C248" s="179"/>
      <c r="D248" s="179"/>
      <c r="E248" s="179"/>
      <c r="F248" s="179"/>
      <c r="G248" s="179"/>
      <c r="H248" s="179"/>
      <c r="I248" s="181"/>
      <c r="J248" s="179"/>
      <c r="K248" s="179"/>
      <c r="L248" s="182"/>
      <c r="M248" s="182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32"/>
      <c r="Z248" s="179"/>
      <c r="AA248" s="179"/>
      <c r="AB248" s="179"/>
      <c r="AC248" s="179"/>
      <c r="AD248" s="132"/>
      <c r="AE248" s="179"/>
      <c r="AF248" s="179"/>
    </row>
    <row r="249" ht="12.75" customHeight="1" spans="1:32" x14ac:dyDescent="0.25">
      <c r="A249" s="179"/>
      <c r="B249" s="179"/>
      <c r="C249" s="179"/>
      <c r="D249" s="179"/>
      <c r="E249" s="179"/>
      <c r="F249" s="179"/>
      <c r="G249" s="179"/>
      <c r="H249" s="179"/>
      <c r="I249" s="181"/>
      <c r="J249" s="179"/>
      <c r="K249" s="179"/>
      <c r="L249" s="182"/>
      <c r="M249" s="182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32"/>
      <c r="Z249" s="179"/>
      <c r="AA249" s="179"/>
      <c r="AB249" s="179"/>
      <c r="AC249" s="179"/>
      <c r="AD249" s="132"/>
      <c r="AE249" s="179"/>
      <c r="AF249" s="179"/>
    </row>
    <row r="250" ht="12.75" customHeight="1" spans="1:32" x14ac:dyDescent="0.25">
      <c r="A250" s="179"/>
      <c r="B250" s="179"/>
      <c r="C250" s="179"/>
      <c r="D250" s="179"/>
      <c r="E250" s="179"/>
      <c r="F250" s="179"/>
      <c r="G250" s="179"/>
      <c r="H250" s="179"/>
      <c r="I250" s="181"/>
      <c r="J250" s="179"/>
      <c r="K250" s="179"/>
      <c r="L250" s="182"/>
      <c r="M250" s="182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32"/>
      <c r="Z250" s="179"/>
      <c r="AA250" s="179"/>
      <c r="AB250" s="179"/>
      <c r="AC250" s="179"/>
      <c r="AD250" s="132"/>
      <c r="AE250" s="179"/>
      <c r="AF250" s="179"/>
    </row>
    <row r="251" ht="12.75" customHeight="1" spans="1:32" x14ac:dyDescent="0.25">
      <c r="A251" s="179"/>
      <c r="B251" s="179"/>
      <c r="C251" s="179"/>
      <c r="D251" s="179"/>
      <c r="E251" s="179"/>
      <c r="F251" s="179"/>
      <c r="G251" s="179"/>
      <c r="H251" s="179"/>
      <c r="I251" s="181"/>
      <c r="J251" s="179"/>
      <c r="K251" s="179"/>
      <c r="L251" s="182"/>
      <c r="M251" s="182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32"/>
      <c r="Z251" s="179"/>
      <c r="AA251" s="179"/>
      <c r="AB251" s="179"/>
      <c r="AC251" s="179"/>
      <c r="AD251" s="132"/>
      <c r="AE251" s="179"/>
      <c r="AF251" s="179"/>
    </row>
    <row r="252" ht="12.75" customHeight="1" spans="1:32" x14ac:dyDescent="0.25">
      <c r="A252" s="179"/>
      <c r="B252" s="179"/>
      <c r="C252" s="179"/>
      <c r="D252" s="179"/>
      <c r="E252" s="179"/>
      <c r="F252" s="179"/>
      <c r="G252" s="179"/>
      <c r="H252" s="179"/>
      <c r="I252" s="181"/>
      <c r="J252" s="179"/>
      <c r="K252" s="179"/>
      <c r="L252" s="182"/>
      <c r="M252" s="182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32"/>
      <c r="Z252" s="179"/>
      <c r="AA252" s="179"/>
      <c r="AB252" s="179"/>
      <c r="AC252" s="179"/>
      <c r="AD252" s="132"/>
      <c r="AE252" s="179"/>
      <c r="AF252" s="179"/>
    </row>
    <row r="253" ht="12.75" customHeight="1" spans="1:32" x14ac:dyDescent="0.25">
      <c r="A253" s="179"/>
      <c r="B253" s="179"/>
      <c r="C253" s="179"/>
      <c r="D253" s="179"/>
      <c r="E253" s="179"/>
      <c r="F253" s="179"/>
      <c r="G253" s="179"/>
      <c r="H253" s="179"/>
      <c r="I253" s="181"/>
      <c r="J253" s="179"/>
      <c r="K253" s="179"/>
      <c r="L253" s="182"/>
      <c r="M253" s="182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32"/>
      <c r="Z253" s="179"/>
      <c r="AA253" s="179"/>
      <c r="AB253" s="179"/>
      <c r="AC253" s="179"/>
      <c r="AD253" s="132"/>
      <c r="AE253" s="179"/>
      <c r="AF253" s="179"/>
    </row>
    <row r="254" ht="12.75" customHeight="1" spans="1:32" x14ac:dyDescent="0.25">
      <c r="A254" s="179"/>
      <c r="B254" s="179"/>
      <c r="C254" s="179"/>
      <c r="D254" s="179"/>
      <c r="E254" s="179"/>
      <c r="F254" s="179"/>
      <c r="G254" s="179"/>
      <c r="H254" s="179"/>
      <c r="I254" s="181"/>
      <c r="J254" s="179"/>
      <c r="K254" s="179"/>
      <c r="L254" s="182"/>
      <c r="M254" s="182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32"/>
      <c r="Z254" s="179"/>
      <c r="AA254" s="179"/>
      <c r="AB254" s="179"/>
      <c r="AC254" s="179"/>
      <c r="AD254" s="132"/>
      <c r="AE254" s="179"/>
      <c r="AF254" s="179"/>
    </row>
    <row r="255" ht="12.75" customHeight="1" spans="1:32" x14ac:dyDescent="0.25">
      <c r="A255" s="179"/>
      <c r="B255" s="179"/>
      <c r="C255" s="179"/>
      <c r="D255" s="179"/>
      <c r="E255" s="179"/>
      <c r="F255" s="179"/>
      <c r="G255" s="179"/>
      <c r="H255" s="179"/>
      <c r="I255" s="181"/>
      <c r="J255" s="179"/>
      <c r="K255" s="179"/>
      <c r="L255" s="182"/>
      <c r="M255" s="182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32"/>
      <c r="Z255" s="179"/>
      <c r="AA255" s="179"/>
      <c r="AB255" s="179"/>
      <c r="AC255" s="179"/>
      <c r="AD255" s="132"/>
      <c r="AE255" s="179"/>
      <c r="AF255" s="179"/>
    </row>
    <row r="256" ht="12.75" customHeight="1" spans="1:32" x14ac:dyDescent="0.25">
      <c r="A256" s="179"/>
      <c r="B256" s="179"/>
      <c r="C256" s="179"/>
      <c r="D256" s="179"/>
      <c r="E256" s="179"/>
      <c r="F256" s="179"/>
      <c r="G256" s="179"/>
      <c r="H256" s="179"/>
      <c r="I256" s="181"/>
      <c r="J256" s="179"/>
      <c r="K256" s="179"/>
      <c r="L256" s="182"/>
      <c r="M256" s="182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32"/>
      <c r="Z256" s="179"/>
      <c r="AA256" s="179"/>
      <c r="AB256" s="179"/>
      <c r="AC256" s="179"/>
      <c r="AD256" s="132"/>
      <c r="AE256" s="179"/>
      <c r="AF256" s="179"/>
    </row>
    <row r="257" ht="12.75" customHeight="1" spans="1:32" x14ac:dyDescent="0.25">
      <c r="A257" s="179"/>
      <c r="B257" s="179"/>
      <c r="C257" s="179"/>
      <c r="D257" s="179"/>
      <c r="E257" s="179"/>
      <c r="F257" s="179"/>
      <c r="G257" s="179"/>
      <c r="H257" s="179"/>
      <c r="I257" s="181"/>
      <c r="J257" s="179"/>
      <c r="K257" s="179"/>
      <c r="L257" s="182"/>
      <c r="M257" s="182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32"/>
      <c r="Z257" s="179"/>
      <c r="AA257" s="179"/>
      <c r="AB257" s="179"/>
      <c r="AC257" s="179"/>
      <c r="AD257" s="132"/>
      <c r="AE257" s="179"/>
      <c r="AF257" s="179"/>
    </row>
    <row r="258" ht="12.75" customHeight="1" spans="1:32" x14ac:dyDescent="0.25">
      <c r="A258" s="179"/>
      <c r="B258" s="179"/>
      <c r="C258" s="179"/>
      <c r="D258" s="179"/>
      <c r="E258" s="179"/>
      <c r="F258" s="179"/>
      <c r="G258" s="179"/>
      <c r="H258" s="179"/>
      <c r="I258" s="181"/>
      <c r="J258" s="179"/>
      <c r="K258" s="179"/>
      <c r="L258" s="182"/>
      <c r="M258" s="182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32"/>
      <c r="Z258" s="179"/>
      <c r="AA258" s="179"/>
      <c r="AB258" s="179"/>
      <c r="AC258" s="179"/>
      <c r="AD258" s="132"/>
      <c r="AE258" s="179"/>
      <c r="AF258" s="179"/>
    </row>
    <row r="259" ht="12.75" customHeight="1" spans="1:32" x14ac:dyDescent="0.25">
      <c r="A259" s="179"/>
      <c r="B259" s="179"/>
      <c r="C259" s="179"/>
      <c r="D259" s="179"/>
      <c r="E259" s="179"/>
      <c r="F259" s="179"/>
      <c r="G259" s="179"/>
      <c r="H259" s="179"/>
      <c r="I259" s="181"/>
      <c r="J259" s="179"/>
      <c r="K259" s="179"/>
      <c r="L259" s="182"/>
      <c r="M259" s="182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32"/>
      <c r="Z259" s="179"/>
      <c r="AA259" s="179"/>
      <c r="AB259" s="179"/>
      <c r="AC259" s="179"/>
      <c r="AD259" s="132"/>
      <c r="AE259" s="179"/>
      <c r="AF259" s="179"/>
    </row>
    <row r="260" ht="12.75" customHeight="1" spans="1:32" x14ac:dyDescent="0.25">
      <c r="A260" s="179"/>
      <c r="B260" s="179"/>
      <c r="C260" s="179"/>
      <c r="D260" s="179"/>
      <c r="E260" s="179"/>
      <c r="F260" s="179"/>
      <c r="G260" s="179"/>
      <c r="H260" s="179"/>
      <c r="I260" s="181"/>
      <c r="J260" s="179"/>
      <c r="K260" s="179"/>
      <c r="L260" s="182"/>
      <c r="M260" s="182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32"/>
      <c r="Z260" s="179"/>
      <c r="AA260" s="179"/>
      <c r="AB260" s="179"/>
      <c r="AC260" s="179"/>
      <c r="AD260" s="132"/>
      <c r="AE260" s="179"/>
      <c r="AF260" s="179"/>
    </row>
    <row r="261" ht="12.75" customHeight="1" spans="1:32" x14ac:dyDescent="0.25">
      <c r="A261" s="179"/>
      <c r="B261" s="179"/>
      <c r="C261" s="179"/>
      <c r="D261" s="179"/>
      <c r="E261" s="179"/>
      <c r="F261" s="179"/>
      <c r="G261" s="179"/>
      <c r="H261" s="179"/>
      <c r="I261" s="181"/>
      <c r="J261" s="179"/>
      <c r="K261" s="179"/>
      <c r="L261" s="182"/>
      <c r="M261" s="182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32"/>
      <c r="Z261" s="179"/>
      <c r="AA261" s="179"/>
      <c r="AB261" s="179"/>
      <c r="AC261" s="179"/>
      <c r="AD261" s="132"/>
      <c r="AE261" s="179"/>
      <c r="AF261" s="179"/>
    </row>
    <row r="262" ht="12.75" customHeight="1" spans="1:32" x14ac:dyDescent="0.25">
      <c r="A262" s="179"/>
      <c r="B262" s="179"/>
      <c r="C262" s="179"/>
      <c r="D262" s="179"/>
      <c r="E262" s="179"/>
      <c r="F262" s="179"/>
      <c r="G262" s="179"/>
      <c r="H262" s="179"/>
      <c r="I262" s="181"/>
      <c r="J262" s="179"/>
      <c r="K262" s="179"/>
      <c r="L262" s="182"/>
      <c r="M262" s="182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32"/>
      <c r="Z262" s="179"/>
      <c r="AA262" s="179"/>
      <c r="AB262" s="179"/>
      <c r="AC262" s="179"/>
      <c r="AD262" s="132"/>
      <c r="AE262" s="179"/>
      <c r="AF262" s="179"/>
    </row>
    <row r="263" ht="12.75" customHeight="1" spans="1:32" x14ac:dyDescent="0.25">
      <c r="A263" s="179"/>
      <c r="B263" s="179"/>
      <c r="C263" s="179"/>
      <c r="D263" s="179"/>
      <c r="E263" s="179"/>
      <c r="F263" s="179"/>
      <c r="G263" s="179"/>
      <c r="H263" s="179"/>
      <c r="I263" s="181"/>
      <c r="J263" s="179"/>
      <c r="K263" s="179"/>
      <c r="L263" s="182"/>
      <c r="M263" s="182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32"/>
      <c r="Z263" s="179"/>
      <c r="AA263" s="179"/>
      <c r="AB263" s="179"/>
      <c r="AC263" s="179"/>
      <c r="AD263" s="132"/>
      <c r="AE263" s="179"/>
      <c r="AF263" s="179"/>
    </row>
    <row r="264" ht="12.75" customHeight="1" spans="1:32" x14ac:dyDescent="0.25">
      <c r="A264" s="179"/>
      <c r="B264" s="179"/>
      <c r="C264" s="179"/>
      <c r="D264" s="179"/>
      <c r="E264" s="179"/>
      <c r="F264" s="179"/>
      <c r="G264" s="179"/>
      <c r="H264" s="179"/>
      <c r="I264" s="181"/>
      <c r="J264" s="179"/>
      <c r="K264" s="179"/>
      <c r="L264" s="182"/>
      <c r="M264" s="182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32"/>
      <c r="Z264" s="179"/>
      <c r="AA264" s="179"/>
      <c r="AB264" s="179"/>
      <c r="AC264" s="179"/>
      <c r="AD264" s="132"/>
      <c r="AE264" s="179"/>
      <c r="AF264" s="179"/>
    </row>
    <row r="265" ht="12.75" customHeight="1" spans="1:32" x14ac:dyDescent="0.25">
      <c r="A265" s="179"/>
      <c r="B265" s="179"/>
      <c r="C265" s="179"/>
      <c r="D265" s="179"/>
      <c r="E265" s="179"/>
      <c r="F265" s="179"/>
      <c r="G265" s="179"/>
      <c r="H265" s="179"/>
      <c r="I265" s="181"/>
      <c r="J265" s="179"/>
      <c r="K265" s="179"/>
      <c r="L265" s="182"/>
      <c r="M265" s="182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32"/>
      <c r="Z265" s="179"/>
      <c r="AA265" s="179"/>
      <c r="AB265" s="179"/>
      <c r="AC265" s="179"/>
      <c r="AD265" s="132"/>
      <c r="AE265" s="179"/>
      <c r="AF265" s="179"/>
    </row>
    <row r="266" ht="12.75" customHeight="1" spans="1:32" x14ac:dyDescent="0.25">
      <c r="A266" s="179"/>
      <c r="B266" s="179"/>
      <c r="C266" s="179"/>
      <c r="D266" s="179"/>
      <c r="E266" s="179"/>
      <c r="F266" s="179"/>
      <c r="G266" s="179"/>
      <c r="H266" s="179"/>
      <c r="I266" s="181"/>
      <c r="J266" s="179"/>
      <c r="K266" s="179"/>
      <c r="L266" s="182"/>
      <c r="M266" s="182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32"/>
      <c r="Z266" s="179"/>
      <c r="AA266" s="179"/>
      <c r="AB266" s="179"/>
      <c r="AC266" s="179"/>
      <c r="AD266" s="132"/>
      <c r="AE266" s="179"/>
      <c r="AF266" s="179"/>
    </row>
    <row r="267" ht="12.75" customHeight="1" spans="1:32" x14ac:dyDescent="0.25">
      <c r="A267" s="179"/>
      <c r="B267" s="179"/>
      <c r="C267" s="179"/>
      <c r="D267" s="179"/>
      <c r="E267" s="179"/>
      <c r="F267" s="179"/>
      <c r="G267" s="179"/>
      <c r="H267" s="179"/>
      <c r="I267" s="181"/>
      <c r="J267" s="179"/>
      <c r="K267" s="179"/>
      <c r="L267" s="182"/>
      <c r="M267" s="182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32"/>
      <c r="Z267" s="179"/>
      <c r="AA267" s="179"/>
      <c r="AB267" s="179"/>
      <c r="AC267" s="179"/>
      <c r="AD267" s="132"/>
      <c r="AE267" s="179"/>
      <c r="AF267" s="179"/>
    </row>
    <row r="268" ht="12.75" customHeight="1" spans="1:32" x14ac:dyDescent="0.25">
      <c r="A268" s="179"/>
      <c r="B268" s="179"/>
      <c r="C268" s="179"/>
      <c r="D268" s="179"/>
      <c r="E268" s="179"/>
      <c r="F268" s="179"/>
      <c r="G268" s="179"/>
      <c r="H268" s="179"/>
      <c r="I268" s="181"/>
      <c r="J268" s="179"/>
      <c r="K268" s="179"/>
      <c r="L268" s="182"/>
      <c r="M268" s="182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32"/>
      <c r="Z268" s="179"/>
      <c r="AA268" s="179"/>
      <c r="AB268" s="179"/>
      <c r="AC268" s="179"/>
      <c r="AD268" s="132"/>
      <c r="AE268" s="179"/>
      <c r="AF268" s="179"/>
    </row>
    <row r="269" ht="12.75" customHeight="1" spans="1:32" x14ac:dyDescent="0.25">
      <c r="A269" s="179"/>
      <c r="B269" s="179"/>
      <c r="C269" s="179"/>
      <c r="D269" s="179"/>
      <c r="E269" s="179"/>
      <c r="F269" s="179"/>
      <c r="G269" s="179"/>
      <c r="H269" s="179"/>
      <c r="I269" s="181"/>
      <c r="J269" s="179"/>
      <c r="K269" s="179"/>
      <c r="L269" s="182"/>
      <c r="M269" s="182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32"/>
      <c r="Z269" s="179"/>
      <c r="AA269" s="179"/>
      <c r="AB269" s="179"/>
      <c r="AC269" s="179"/>
      <c r="AD269" s="132"/>
      <c r="AE269" s="179"/>
      <c r="AF269" s="179"/>
    </row>
    <row r="270" ht="12.75" customHeight="1" spans="1:32" x14ac:dyDescent="0.25">
      <c r="A270" s="179"/>
      <c r="B270" s="179"/>
      <c r="C270" s="179"/>
      <c r="D270" s="179"/>
      <c r="E270" s="179"/>
      <c r="F270" s="179"/>
      <c r="G270" s="179"/>
      <c r="H270" s="179"/>
      <c r="I270" s="181"/>
      <c r="J270" s="179"/>
      <c r="K270" s="179"/>
      <c r="L270" s="182"/>
      <c r="M270" s="182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32"/>
      <c r="Z270" s="179"/>
      <c r="AA270" s="179"/>
      <c r="AB270" s="179"/>
      <c r="AC270" s="179"/>
      <c r="AD270" s="132"/>
      <c r="AE270" s="179"/>
      <c r="AF270" s="179"/>
    </row>
    <row r="271" ht="12.75" customHeight="1" spans="1:32" x14ac:dyDescent="0.25">
      <c r="A271" s="179"/>
      <c r="B271" s="179"/>
      <c r="C271" s="179"/>
      <c r="D271" s="179"/>
      <c r="E271" s="179"/>
      <c r="F271" s="179"/>
      <c r="G271" s="179"/>
      <c r="H271" s="179"/>
      <c r="I271" s="181"/>
      <c r="J271" s="179"/>
      <c r="K271" s="179"/>
      <c r="L271" s="182"/>
      <c r="M271" s="182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32"/>
      <c r="Z271" s="179"/>
      <c r="AA271" s="179"/>
      <c r="AB271" s="179"/>
      <c r="AC271" s="179"/>
      <c r="AD271" s="132"/>
      <c r="AE271" s="179"/>
      <c r="AF271" s="179"/>
    </row>
    <row r="272" ht="12.75" customHeight="1" spans="1:32" x14ac:dyDescent="0.25">
      <c r="A272" s="179"/>
      <c r="B272" s="179"/>
      <c r="C272" s="179"/>
      <c r="D272" s="179"/>
      <c r="E272" s="179"/>
      <c r="F272" s="179"/>
      <c r="G272" s="179"/>
      <c r="H272" s="179"/>
      <c r="I272" s="181"/>
      <c r="J272" s="179"/>
      <c r="K272" s="179"/>
      <c r="L272" s="182"/>
      <c r="M272" s="182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32"/>
      <c r="Z272" s="179"/>
      <c r="AA272" s="179"/>
      <c r="AB272" s="179"/>
      <c r="AC272" s="179"/>
      <c r="AD272" s="132"/>
      <c r="AE272" s="179"/>
      <c r="AF272" s="179"/>
    </row>
    <row r="273" ht="12.75" customHeight="1" spans="1:32" x14ac:dyDescent="0.25">
      <c r="A273" s="179"/>
      <c r="B273" s="179"/>
      <c r="C273" s="179"/>
      <c r="D273" s="179"/>
      <c r="E273" s="179"/>
      <c r="F273" s="179"/>
      <c r="G273" s="179"/>
      <c r="H273" s="179"/>
      <c r="I273" s="181"/>
      <c r="J273" s="179"/>
      <c r="K273" s="179"/>
      <c r="L273" s="182"/>
      <c r="M273" s="182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32"/>
      <c r="Z273" s="179"/>
      <c r="AA273" s="179"/>
      <c r="AB273" s="179"/>
      <c r="AC273" s="179"/>
      <c r="AD273" s="132"/>
      <c r="AE273" s="179"/>
      <c r="AF273" s="179"/>
    </row>
    <row r="274" ht="12.75" customHeight="1" spans="1:32" x14ac:dyDescent="0.25">
      <c r="A274" s="179"/>
      <c r="B274" s="179"/>
      <c r="C274" s="179"/>
      <c r="D274" s="179"/>
      <c r="E274" s="179"/>
      <c r="F274" s="179"/>
      <c r="G274" s="179"/>
      <c r="H274" s="179"/>
      <c r="I274" s="181"/>
      <c r="J274" s="179"/>
      <c r="K274" s="179"/>
      <c r="L274" s="182"/>
      <c r="M274" s="182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32"/>
      <c r="Z274" s="179"/>
      <c r="AA274" s="179"/>
      <c r="AB274" s="179"/>
      <c r="AC274" s="179"/>
      <c r="AD274" s="132"/>
      <c r="AE274" s="179"/>
      <c r="AF274" s="179"/>
    </row>
    <row r="275" ht="12.75" customHeight="1" spans="1:32" x14ac:dyDescent="0.25">
      <c r="A275" s="179"/>
      <c r="B275" s="179"/>
      <c r="C275" s="179"/>
      <c r="D275" s="179"/>
      <c r="E275" s="179"/>
      <c r="F275" s="179"/>
      <c r="G275" s="179"/>
      <c r="H275" s="179"/>
      <c r="I275" s="181"/>
      <c r="J275" s="179"/>
      <c r="K275" s="179"/>
      <c r="L275" s="182"/>
      <c r="M275" s="182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32"/>
      <c r="Z275" s="179"/>
      <c r="AA275" s="179"/>
      <c r="AB275" s="179"/>
      <c r="AC275" s="179"/>
      <c r="AD275" s="132"/>
      <c r="AE275" s="179"/>
      <c r="AF275" s="179"/>
    </row>
    <row r="276" ht="12.75" customHeight="1" spans="1:32" x14ac:dyDescent="0.25">
      <c r="A276" s="179"/>
      <c r="B276" s="179"/>
      <c r="C276" s="179"/>
      <c r="D276" s="179"/>
      <c r="E276" s="179"/>
      <c r="F276" s="179"/>
      <c r="G276" s="179"/>
      <c r="H276" s="179"/>
      <c r="I276" s="181"/>
      <c r="J276" s="179"/>
      <c r="K276" s="179"/>
      <c r="L276" s="182"/>
      <c r="M276" s="182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32"/>
      <c r="Z276" s="179"/>
      <c r="AA276" s="179"/>
      <c r="AB276" s="179"/>
      <c r="AC276" s="179"/>
      <c r="AD276" s="132"/>
      <c r="AE276" s="179"/>
      <c r="AF276" s="179"/>
    </row>
    <row r="277" ht="12.75" customHeight="1" spans="1:32" x14ac:dyDescent="0.25">
      <c r="A277" s="179"/>
      <c r="B277" s="179"/>
      <c r="C277" s="179"/>
      <c r="D277" s="179"/>
      <c r="E277" s="179"/>
      <c r="F277" s="179"/>
      <c r="G277" s="179"/>
      <c r="H277" s="179"/>
      <c r="I277" s="181"/>
      <c r="J277" s="179"/>
      <c r="K277" s="179"/>
      <c r="L277" s="182"/>
      <c r="M277" s="182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32"/>
      <c r="Z277" s="179"/>
      <c r="AA277" s="179"/>
      <c r="AB277" s="179"/>
      <c r="AC277" s="179"/>
      <c r="AD277" s="132"/>
      <c r="AE277" s="179"/>
      <c r="AF277" s="179"/>
    </row>
    <row r="278" ht="12.75" customHeight="1" spans="1:32" x14ac:dyDescent="0.25">
      <c r="A278" s="179"/>
      <c r="B278" s="179"/>
      <c r="C278" s="179"/>
      <c r="D278" s="179"/>
      <c r="E278" s="179"/>
      <c r="F278" s="179"/>
      <c r="G278" s="179"/>
      <c r="H278" s="179"/>
      <c r="I278" s="181"/>
      <c r="J278" s="179"/>
      <c r="K278" s="179"/>
      <c r="L278" s="182"/>
      <c r="M278" s="182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32"/>
      <c r="Z278" s="179"/>
      <c r="AA278" s="179"/>
      <c r="AB278" s="179"/>
      <c r="AC278" s="179"/>
      <c r="AD278" s="132"/>
      <c r="AE278" s="179"/>
      <c r="AF278" s="179"/>
    </row>
    <row r="279" ht="12.75" customHeight="1" spans="1:32" x14ac:dyDescent="0.25">
      <c r="A279" s="179"/>
      <c r="B279" s="179"/>
      <c r="C279" s="179"/>
      <c r="D279" s="179"/>
      <c r="E279" s="179"/>
      <c r="F279" s="179"/>
      <c r="G279" s="179"/>
      <c r="H279" s="179"/>
      <c r="I279" s="181"/>
      <c r="J279" s="179"/>
      <c r="K279" s="179"/>
      <c r="L279" s="182"/>
      <c r="M279" s="182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32"/>
      <c r="Z279" s="179"/>
      <c r="AA279" s="179"/>
      <c r="AB279" s="179"/>
      <c r="AC279" s="179"/>
      <c r="AD279" s="132"/>
      <c r="AE279" s="179"/>
      <c r="AF279" s="179"/>
    </row>
    <row r="280" ht="12.75" customHeight="1" spans="1:32" x14ac:dyDescent="0.25">
      <c r="A280" s="179"/>
      <c r="B280" s="179"/>
      <c r="C280" s="179"/>
      <c r="D280" s="179"/>
      <c r="E280" s="179"/>
      <c r="F280" s="179"/>
      <c r="G280" s="179"/>
      <c r="H280" s="179"/>
      <c r="I280" s="181"/>
      <c r="J280" s="179"/>
      <c r="K280" s="179"/>
      <c r="L280" s="182"/>
      <c r="M280" s="182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32"/>
      <c r="Z280" s="179"/>
      <c r="AA280" s="179"/>
      <c r="AB280" s="179"/>
      <c r="AC280" s="179"/>
      <c r="AD280" s="132"/>
      <c r="AE280" s="179"/>
      <c r="AF280" s="179"/>
    </row>
    <row r="281" ht="12.75" customHeight="1" spans="1:32" x14ac:dyDescent="0.25">
      <c r="A281" s="179"/>
      <c r="B281" s="179"/>
      <c r="C281" s="179"/>
      <c r="D281" s="179"/>
      <c r="E281" s="179"/>
      <c r="F281" s="179"/>
      <c r="G281" s="179"/>
      <c r="H281" s="179"/>
      <c r="I281" s="181"/>
      <c r="J281" s="179"/>
      <c r="K281" s="179"/>
      <c r="L281" s="182"/>
      <c r="M281" s="182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32"/>
      <c r="Z281" s="179"/>
      <c r="AA281" s="179"/>
      <c r="AB281" s="179"/>
      <c r="AC281" s="179"/>
      <c r="AD281" s="132"/>
      <c r="AE281" s="179"/>
      <c r="AF281" s="179"/>
    </row>
    <row r="282" ht="12.75" customHeight="1" spans="1:32" x14ac:dyDescent="0.25">
      <c r="A282" s="179"/>
      <c r="B282" s="179"/>
      <c r="C282" s="179"/>
      <c r="D282" s="179"/>
      <c r="E282" s="179"/>
      <c r="F282" s="179"/>
      <c r="G282" s="179"/>
      <c r="H282" s="179"/>
      <c r="I282" s="181"/>
      <c r="J282" s="179"/>
      <c r="K282" s="179"/>
      <c r="L282" s="182"/>
      <c r="M282" s="182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32"/>
      <c r="Z282" s="179"/>
      <c r="AA282" s="179"/>
      <c r="AB282" s="179"/>
      <c r="AC282" s="179"/>
      <c r="AD282" s="132"/>
      <c r="AE282" s="179"/>
      <c r="AF282" s="179"/>
    </row>
    <row r="283" ht="12.75" customHeight="1" spans="1:32" x14ac:dyDescent="0.25">
      <c r="A283" s="179"/>
      <c r="B283" s="179"/>
      <c r="C283" s="179"/>
      <c r="D283" s="179"/>
      <c r="E283" s="179"/>
      <c r="F283" s="179"/>
      <c r="G283" s="179"/>
      <c r="H283" s="179"/>
      <c r="I283" s="181"/>
      <c r="J283" s="179"/>
      <c r="K283" s="179"/>
      <c r="L283" s="182"/>
      <c r="M283" s="182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32"/>
      <c r="Z283" s="179"/>
      <c r="AA283" s="179"/>
      <c r="AB283" s="179"/>
      <c r="AC283" s="179"/>
      <c r="AD283" s="132"/>
      <c r="AE283" s="179"/>
      <c r="AF283" s="179"/>
    </row>
    <row r="284" ht="12.75" customHeight="1" spans="1:32" x14ac:dyDescent="0.25">
      <c r="A284" s="179"/>
      <c r="B284" s="179"/>
      <c r="C284" s="179"/>
      <c r="D284" s="179"/>
      <c r="E284" s="179"/>
      <c r="F284" s="179"/>
      <c r="G284" s="179"/>
      <c r="H284" s="179"/>
      <c r="I284" s="181"/>
      <c r="J284" s="179"/>
      <c r="K284" s="179"/>
      <c r="L284" s="182"/>
      <c r="M284" s="182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32"/>
      <c r="Z284" s="179"/>
      <c r="AA284" s="179"/>
      <c r="AB284" s="179"/>
      <c r="AC284" s="179"/>
      <c r="AD284" s="132"/>
      <c r="AE284" s="179"/>
      <c r="AF284" s="179"/>
    </row>
    <row r="285" ht="12.75" customHeight="1" spans="1:32" x14ac:dyDescent="0.25">
      <c r="A285" s="179"/>
      <c r="B285" s="179"/>
      <c r="C285" s="179"/>
      <c r="D285" s="179"/>
      <c r="E285" s="179"/>
      <c r="F285" s="179"/>
      <c r="G285" s="179"/>
      <c r="H285" s="179"/>
      <c r="I285" s="181"/>
      <c r="J285" s="179"/>
      <c r="K285" s="179"/>
      <c r="L285" s="182"/>
      <c r="M285" s="182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32"/>
      <c r="Z285" s="179"/>
      <c r="AA285" s="179"/>
      <c r="AB285" s="179"/>
      <c r="AC285" s="179"/>
      <c r="AD285" s="132"/>
      <c r="AE285" s="179"/>
      <c r="AF285" s="179"/>
    </row>
    <row r="286" ht="12.75" customHeight="1" spans="1:32" x14ac:dyDescent="0.25">
      <c r="A286" s="179"/>
      <c r="B286" s="179"/>
      <c r="C286" s="179"/>
      <c r="D286" s="179"/>
      <c r="E286" s="179"/>
      <c r="F286" s="179"/>
      <c r="G286" s="179"/>
      <c r="H286" s="179"/>
      <c r="I286" s="181"/>
      <c r="J286" s="179"/>
      <c r="K286" s="179"/>
      <c r="L286" s="182"/>
      <c r="M286" s="182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32"/>
      <c r="Z286" s="179"/>
      <c r="AA286" s="179"/>
      <c r="AB286" s="179"/>
      <c r="AC286" s="179"/>
      <c r="AD286" s="132"/>
      <c r="AE286" s="179"/>
      <c r="AF286" s="179"/>
    </row>
    <row r="287" ht="12.75" customHeight="1" spans="1:32" x14ac:dyDescent="0.25">
      <c r="A287" s="179"/>
      <c r="B287" s="179"/>
      <c r="C287" s="179"/>
      <c r="D287" s="179"/>
      <c r="E287" s="179"/>
      <c r="F287" s="179"/>
      <c r="G287" s="179"/>
      <c r="H287" s="179"/>
      <c r="I287" s="181"/>
      <c r="J287" s="179"/>
      <c r="K287" s="179"/>
      <c r="L287" s="182"/>
      <c r="M287" s="182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32"/>
      <c r="Z287" s="179"/>
      <c r="AA287" s="179"/>
      <c r="AB287" s="179"/>
      <c r="AC287" s="179"/>
      <c r="AD287" s="132"/>
      <c r="AE287" s="179"/>
      <c r="AF287" s="179"/>
    </row>
    <row r="288" ht="12.75" customHeight="1" spans="1:32" x14ac:dyDescent="0.25">
      <c r="A288" s="179"/>
      <c r="B288" s="179"/>
      <c r="C288" s="179"/>
      <c r="D288" s="179"/>
      <c r="E288" s="179"/>
      <c r="F288" s="179"/>
      <c r="G288" s="179"/>
      <c r="H288" s="179"/>
      <c r="I288" s="181"/>
      <c r="J288" s="179"/>
      <c r="K288" s="179"/>
      <c r="L288" s="182"/>
      <c r="M288" s="182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32"/>
      <c r="Z288" s="179"/>
      <c r="AA288" s="179"/>
      <c r="AB288" s="179"/>
      <c r="AC288" s="179"/>
      <c r="AD288" s="132"/>
      <c r="AE288" s="179"/>
      <c r="AF288" s="179"/>
    </row>
    <row r="289" ht="12.75" customHeight="1" spans="1:32" x14ac:dyDescent="0.25">
      <c r="A289" s="179"/>
      <c r="B289" s="179"/>
      <c r="C289" s="179"/>
      <c r="D289" s="179"/>
      <c r="E289" s="179"/>
      <c r="F289" s="179"/>
      <c r="G289" s="179"/>
      <c r="H289" s="179"/>
      <c r="I289" s="181"/>
      <c r="J289" s="179"/>
      <c r="K289" s="179"/>
      <c r="L289" s="182"/>
      <c r="M289" s="182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32"/>
      <c r="Z289" s="179"/>
      <c r="AA289" s="179"/>
      <c r="AB289" s="179"/>
      <c r="AC289" s="179"/>
      <c r="AD289" s="132"/>
      <c r="AE289" s="179"/>
      <c r="AF289" s="179"/>
    </row>
    <row r="290" ht="12.75" customHeight="1" spans="1:32" x14ac:dyDescent="0.25">
      <c r="A290" s="179"/>
      <c r="B290" s="179"/>
      <c r="C290" s="179"/>
      <c r="D290" s="179"/>
      <c r="E290" s="179"/>
      <c r="F290" s="179"/>
      <c r="G290" s="179"/>
      <c r="H290" s="179"/>
      <c r="I290" s="181"/>
      <c r="J290" s="179"/>
      <c r="K290" s="179"/>
      <c r="L290" s="182"/>
      <c r="M290" s="182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32"/>
      <c r="Z290" s="179"/>
      <c r="AA290" s="179"/>
      <c r="AB290" s="179"/>
      <c r="AC290" s="179"/>
      <c r="AD290" s="132"/>
      <c r="AE290" s="179"/>
      <c r="AF290" s="179"/>
    </row>
    <row r="291" ht="12.75" customHeight="1" spans="1:32" x14ac:dyDescent="0.25">
      <c r="A291" s="179"/>
      <c r="B291" s="179"/>
      <c r="C291" s="179"/>
      <c r="D291" s="179"/>
      <c r="E291" s="179"/>
      <c r="F291" s="179"/>
      <c r="G291" s="179"/>
      <c r="H291" s="179"/>
      <c r="I291" s="181"/>
      <c r="J291" s="179"/>
      <c r="K291" s="179"/>
      <c r="L291" s="182"/>
      <c r="M291" s="182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32"/>
      <c r="Z291" s="179"/>
      <c r="AA291" s="179"/>
      <c r="AB291" s="179"/>
      <c r="AC291" s="179"/>
      <c r="AD291" s="132"/>
      <c r="AE291" s="179"/>
      <c r="AF291" s="179"/>
    </row>
    <row r="292" ht="12.75" customHeight="1" spans="1:32" x14ac:dyDescent="0.25">
      <c r="A292" s="179"/>
      <c r="B292" s="179"/>
      <c r="C292" s="179"/>
      <c r="D292" s="179"/>
      <c r="E292" s="179"/>
      <c r="F292" s="179"/>
      <c r="G292" s="179"/>
      <c r="H292" s="179"/>
      <c r="I292" s="181"/>
      <c r="J292" s="179"/>
      <c r="K292" s="179"/>
      <c r="L292" s="182"/>
      <c r="M292" s="182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32"/>
      <c r="Z292" s="179"/>
      <c r="AA292" s="179"/>
      <c r="AB292" s="179"/>
      <c r="AC292" s="179"/>
      <c r="AD292" s="132"/>
      <c r="AE292" s="179"/>
      <c r="AF292" s="179"/>
    </row>
    <row r="293" ht="12.75" customHeight="1" spans="1:32" x14ac:dyDescent="0.25">
      <c r="A293" s="179"/>
      <c r="B293" s="179"/>
      <c r="C293" s="179"/>
      <c r="D293" s="179"/>
      <c r="E293" s="179"/>
      <c r="F293" s="179"/>
      <c r="G293" s="179"/>
      <c r="H293" s="179"/>
      <c r="I293" s="181"/>
      <c r="J293" s="179"/>
      <c r="K293" s="179"/>
      <c r="L293" s="182"/>
      <c r="M293" s="182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32"/>
      <c r="Z293" s="179"/>
      <c r="AA293" s="179"/>
      <c r="AB293" s="179"/>
      <c r="AC293" s="179"/>
      <c r="AD293" s="132"/>
      <c r="AE293" s="179"/>
      <c r="AF293" s="179"/>
    </row>
    <row r="294" ht="12.75" customHeight="1" spans="1:32" x14ac:dyDescent="0.25">
      <c r="A294" s="179"/>
      <c r="B294" s="179"/>
      <c r="C294" s="179"/>
      <c r="D294" s="179"/>
      <c r="E294" s="179"/>
      <c r="F294" s="179"/>
      <c r="G294" s="179"/>
      <c r="H294" s="179"/>
      <c r="I294" s="181"/>
      <c r="J294" s="179"/>
      <c r="K294" s="179"/>
      <c r="L294" s="182"/>
      <c r="M294" s="182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32"/>
      <c r="Z294" s="179"/>
      <c r="AA294" s="179"/>
      <c r="AB294" s="179"/>
      <c r="AC294" s="179"/>
      <c r="AD294" s="132"/>
      <c r="AE294" s="179"/>
      <c r="AF294" s="179"/>
    </row>
    <row r="295" ht="12.75" customHeight="1" spans="1:32" x14ac:dyDescent="0.25">
      <c r="A295" s="179"/>
      <c r="B295" s="179"/>
      <c r="C295" s="179"/>
      <c r="D295" s="179"/>
      <c r="E295" s="179"/>
      <c r="F295" s="179"/>
      <c r="G295" s="179"/>
      <c r="H295" s="179"/>
      <c r="I295" s="181"/>
      <c r="J295" s="179"/>
      <c r="K295" s="179"/>
      <c r="L295" s="182"/>
      <c r="M295" s="182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32"/>
      <c r="Z295" s="179"/>
      <c r="AA295" s="179"/>
      <c r="AB295" s="179"/>
      <c r="AC295" s="179"/>
      <c r="AD295" s="132"/>
      <c r="AE295" s="179"/>
      <c r="AF295" s="179"/>
    </row>
    <row r="296" ht="12.75" customHeight="1" spans="1:32" x14ac:dyDescent="0.25">
      <c r="A296" s="179"/>
      <c r="B296" s="179"/>
      <c r="C296" s="179"/>
      <c r="D296" s="179"/>
      <c r="E296" s="179"/>
      <c r="F296" s="179"/>
      <c r="G296" s="179"/>
      <c r="H296" s="179"/>
      <c r="I296" s="181"/>
      <c r="J296" s="179"/>
      <c r="K296" s="179"/>
      <c r="L296" s="182"/>
      <c r="M296" s="182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32"/>
      <c r="Z296" s="179"/>
      <c r="AA296" s="179"/>
      <c r="AB296" s="179"/>
      <c r="AC296" s="179"/>
      <c r="AD296" s="132"/>
      <c r="AE296" s="179"/>
      <c r="AF296" s="179"/>
    </row>
    <row r="297" ht="12.75" customHeight="1" spans="1:32" x14ac:dyDescent="0.25">
      <c r="A297" s="179"/>
      <c r="B297" s="179"/>
      <c r="C297" s="179"/>
      <c r="D297" s="179"/>
      <c r="E297" s="179"/>
      <c r="F297" s="179"/>
      <c r="G297" s="179"/>
      <c r="H297" s="179"/>
      <c r="I297" s="181"/>
      <c r="J297" s="179"/>
      <c r="K297" s="179"/>
      <c r="L297" s="182"/>
      <c r="M297" s="182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32"/>
      <c r="Z297" s="179"/>
      <c r="AA297" s="179"/>
      <c r="AB297" s="179"/>
      <c r="AC297" s="179"/>
      <c r="AD297" s="132"/>
      <c r="AE297" s="179"/>
      <c r="AF297" s="179"/>
    </row>
    <row r="298" ht="12.75" customHeight="1" spans="1:32" x14ac:dyDescent="0.25">
      <c r="A298" s="179"/>
      <c r="B298" s="179"/>
      <c r="C298" s="179"/>
      <c r="D298" s="179"/>
      <c r="E298" s="179"/>
      <c r="F298" s="179"/>
      <c r="G298" s="179"/>
      <c r="H298" s="179"/>
      <c r="I298" s="181"/>
      <c r="J298" s="179"/>
      <c r="K298" s="179"/>
      <c r="L298" s="182"/>
      <c r="M298" s="182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32"/>
      <c r="Z298" s="179"/>
      <c r="AA298" s="179"/>
      <c r="AB298" s="179"/>
      <c r="AC298" s="179"/>
      <c r="AD298" s="132"/>
      <c r="AE298" s="179"/>
      <c r="AF298" s="179"/>
    </row>
    <row r="299" ht="12.75" customHeight="1" spans="1:32" x14ac:dyDescent="0.25">
      <c r="A299" s="179"/>
      <c r="B299" s="179"/>
      <c r="C299" s="179"/>
      <c r="D299" s="179"/>
      <c r="E299" s="179"/>
      <c r="F299" s="179"/>
      <c r="G299" s="179"/>
      <c r="H299" s="179"/>
      <c r="I299" s="181"/>
      <c r="J299" s="179"/>
      <c r="K299" s="179"/>
      <c r="L299" s="182"/>
      <c r="M299" s="182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32"/>
      <c r="Z299" s="179"/>
      <c r="AA299" s="179"/>
      <c r="AB299" s="179"/>
      <c r="AC299" s="179"/>
      <c r="AD299" s="132"/>
      <c r="AE299" s="179"/>
      <c r="AF299" s="179"/>
    </row>
    <row r="300" ht="12.75" customHeight="1" spans="1:32" x14ac:dyDescent="0.25">
      <c r="A300" s="179"/>
      <c r="B300" s="179"/>
      <c r="C300" s="179"/>
      <c r="D300" s="179"/>
      <c r="E300" s="179"/>
      <c r="F300" s="179"/>
      <c r="G300" s="179"/>
      <c r="H300" s="179"/>
      <c r="I300" s="181"/>
      <c r="J300" s="179"/>
      <c r="K300" s="179"/>
      <c r="L300" s="182"/>
      <c r="M300" s="182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32"/>
      <c r="Z300" s="179"/>
      <c r="AA300" s="179"/>
      <c r="AB300" s="179"/>
      <c r="AC300" s="179"/>
      <c r="AD300" s="132"/>
      <c r="AE300" s="179"/>
      <c r="AF300" s="179"/>
    </row>
    <row r="301" ht="12.75" customHeight="1" spans="1:32" x14ac:dyDescent="0.25">
      <c r="A301" s="179"/>
      <c r="B301" s="179"/>
      <c r="C301" s="179"/>
      <c r="D301" s="179"/>
      <c r="E301" s="179"/>
      <c r="F301" s="179"/>
      <c r="G301" s="179"/>
      <c r="H301" s="179"/>
      <c r="I301" s="181"/>
      <c r="J301" s="179"/>
      <c r="K301" s="179"/>
      <c r="L301" s="182"/>
      <c r="M301" s="182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32"/>
      <c r="Z301" s="179"/>
      <c r="AA301" s="179"/>
      <c r="AB301" s="179"/>
      <c r="AC301" s="179"/>
      <c r="AD301" s="132"/>
      <c r="AE301" s="179"/>
      <c r="AF301" s="179"/>
    </row>
    <row r="302" ht="12.75" customHeight="1" spans="1:32" x14ac:dyDescent="0.25">
      <c r="A302" s="179"/>
      <c r="B302" s="179"/>
      <c r="C302" s="179"/>
      <c r="D302" s="179"/>
      <c r="E302" s="179"/>
      <c r="F302" s="179"/>
      <c r="G302" s="179"/>
      <c r="H302" s="179"/>
      <c r="I302" s="181"/>
      <c r="J302" s="179"/>
      <c r="K302" s="179"/>
      <c r="L302" s="182"/>
      <c r="M302" s="182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32"/>
      <c r="Z302" s="179"/>
      <c r="AA302" s="179"/>
      <c r="AB302" s="179"/>
      <c r="AC302" s="179"/>
      <c r="AD302" s="132"/>
      <c r="AE302" s="179"/>
      <c r="AF302" s="179"/>
    </row>
    <row r="303" ht="12.75" customHeight="1" spans="1:32" x14ac:dyDescent="0.25">
      <c r="A303" s="179"/>
      <c r="B303" s="179"/>
      <c r="C303" s="179"/>
      <c r="D303" s="179"/>
      <c r="E303" s="179"/>
      <c r="F303" s="179"/>
      <c r="G303" s="179"/>
      <c r="H303" s="179"/>
      <c r="I303" s="181"/>
      <c r="J303" s="179"/>
      <c r="K303" s="179"/>
      <c r="L303" s="182"/>
      <c r="M303" s="182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32"/>
      <c r="Z303" s="179"/>
      <c r="AA303" s="179"/>
      <c r="AB303" s="179"/>
      <c r="AC303" s="179"/>
      <c r="AD303" s="132"/>
      <c r="AE303" s="179"/>
      <c r="AF303" s="179"/>
    </row>
    <row r="304" ht="12.75" customHeight="1" spans="1:32" x14ac:dyDescent="0.25">
      <c r="A304" s="179"/>
      <c r="B304" s="179"/>
      <c r="C304" s="179"/>
      <c r="D304" s="179"/>
      <c r="E304" s="179"/>
      <c r="F304" s="179"/>
      <c r="G304" s="179"/>
      <c r="H304" s="179"/>
      <c r="I304" s="181"/>
      <c r="J304" s="179"/>
      <c r="K304" s="179"/>
      <c r="L304" s="182"/>
      <c r="M304" s="182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32"/>
      <c r="Z304" s="179"/>
      <c r="AA304" s="179"/>
      <c r="AB304" s="179"/>
      <c r="AC304" s="179"/>
      <c r="AD304" s="132"/>
      <c r="AE304" s="179"/>
      <c r="AF304" s="179"/>
    </row>
    <row r="305" ht="12.75" customHeight="1" spans="1:32" x14ac:dyDescent="0.25">
      <c r="A305" s="179"/>
      <c r="B305" s="179"/>
      <c r="C305" s="179"/>
      <c r="D305" s="179"/>
      <c r="E305" s="179"/>
      <c r="F305" s="179"/>
      <c r="G305" s="179"/>
      <c r="H305" s="179"/>
      <c r="I305" s="181"/>
      <c r="J305" s="179"/>
      <c r="K305" s="179"/>
      <c r="L305" s="182"/>
      <c r="M305" s="182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32"/>
      <c r="Z305" s="179"/>
      <c r="AA305" s="179"/>
      <c r="AB305" s="179"/>
      <c r="AC305" s="179"/>
      <c r="AD305" s="132"/>
      <c r="AE305" s="179"/>
      <c r="AF305" s="179"/>
    </row>
    <row r="306" ht="12.75" customHeight="1" spans="1:32" x14ac:dyDescent="0.25">
      <c r="A306" s="179"/>
      <c r="B306" s="179"/>
      <c r="C306" s="179"/>
      <c r="D306" s="179"/>
      <c r="E306" s="179"/>
      <c r="F306" s="179"/>
      <c r="G306" s="179"/>
      <c r="H306" s="179"/>
      <c r="I306" s="181"/>
      <c r="J306" s="179"/>
      <c r="K306" s="179"/>
      <c r="L306" s="182"/>
      <c r="M306" s="182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32"/>
      <c r="Z306" s="179"/>
      <c r="AA306" s="179"/>
      <c r="AB306" s="179"/>
      <c r="AC306" s="179"/>
      <c r="AD306" s="132"/>
      <c r="AE306" s="179"/>
      <c r="AF306" s="179"/>
    </row>
    <row r="307" ht="12.75" customHeight="1" spans="1:32" x14ac:dyDescent="0.25">
      <c r="A307" s="179"/>
      <c r="B307" s="179"/>
      <c r="C307" s="179"/>
      <c r="D307" s="179"/>
      <c r="E307" s="179"/>
      <c r="F307" s="179"/>
      <c r="G307" s="179"/>
      <c r="H307" s="179"/>
      <c r="I307" s="181"/>
      <c r="J307" s="179"/>
      <c r="K307" s="179"/>
      <c r="L307" s="182"/>
      <c r="M307" s="182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32"/>
      <c r="Z307" s="179"/>
      <c r="AA307" s="179"/>
      <c r="AB307" s="179"/>
      <c r="AC307" s="179"/>
      <c r="AD307" s="132"/>
      <c r="AE307" s="179"/>
      <c r="AF307" s="179"/>
    </row>
    <row r="308" ht="12.75" customHeight="1" spans="1:32" x14ac:dyDescent="0.25">
      <c r="A308" s="179"/>
      <c r="B308" s="179"/>
      <c r="C308" s="179"/>
      <c r="D308" s="179"/>
      <c r="E308" s="179"/>
      <c r="F308" s="179"/>
      <c r="G308" s="179"/>
      <c r="H308" s="179"/>
      <c r="I308" s="181"/>
      <c r="J308" s="179"/>
      <c r="K308" s="179"/>
      <c r="L308" s="182"/>
      <c r="M308" s="182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32"/>
      <c r="Z308" s="179"/>
      <c r="AA308" s="179"/>
      <c r="AB308" s="179"/>
      <c r="AC308" s="179"/>
      <c r="AD308" s="132"/>
      <c r="AE308" s="179"/>
      <c r="AF308" s="179"/>
    </row>
    <row r="309" ht="12.75" customHeight="1" spans="1:32" x14ac:dyDescent="0.25">
      <c r="A309" s="179"/>
      <c r="B309" s="179"/>
      <c r="C309" s="179"/>
      <c r="D309" s="179"/>
      <c r="E309" s="179"/>
      <c r="F309" s="179"/>
      <c r="G309" s="179"/>
      <c r="H309" s="179"/>
      <c r="I309" s="181"/>
      <c r="J309" s="179"/>
      <c r="K309" s="179"/>
      <c r="L309" s="182"/>
      <c r="M309" s="182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32"/>
      <c r="Z309" s="179"/>
      <c r="AA309" s="179"/>
      <c r="AB309" s="179"/>
      <c r="AC309" s="179"/>
      <c r="AD309" s="132"/>
      <c r="AE309" s="179"/>
      <c r="AF309" s="179"/>
    </row>
    <row r="310" ht="12.75" customHeight="1" spans="1:32" x14ac:dyDescent="0.25">
      <c r="A310" s="179"/>
      <c r="B310" s="179"/>
      <c r="C310" s="179"/>
      <c r="D310" s="179"/>
      <c r="E310" s="179"/>
      <c r="F310" s="179"/>
      <c r="G310" s="179"/>
      <c r="H310" s="179"/>
      <c r="I310" s="181"/>
      <c r="J310" s="179"/>
      <c r="K310" s="179"/>
      <c r="L310" s="182"/>
      <c r="M310" s="182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32"/>
      <c r="Z310" s="179"/>
      <c r="AA310" s="179"/>
      <c r="AB310" s="179"/>
      <c r="AC310" s="179"/>
      <c r="AD310" s="132"/>
      <c r="AE310" s="179"/>
      <c r="AF310" s="179"/>
    </row>
    <row r="311" ht="12.75" customHeight="1" spans="1:32" x14ac:dyDescent="0.25">
      <c r="A311" s="179"/>
      <c r="B311" s="179"/>
      <c r="C311" s="179"/>
      <c r="D311" s="179"/>
      <c r="E311" s="179"/>
      <c r="F311" s="179"/>
      <c r="G311" s="179"/>
      <c r="H311" s="179"/>
      <c r="I311" s="181"/>
      <c r="J311" s="179"/>
      <c r="K311" s="179"/>
      <c r="L311" s="182"/>
      <c r="M311" s="182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32"/>
      <c r="Z311" s="179"/>
      <c r="AA311" s="179"/>
      <c r="AB311" s="179"/>
      <c r="AC311" s="179"/>
      <c r="AD311" s="132"/>
      <c r="AE311" s="179"/>
      <c r="AF311" s="179"/>
    </row>
    <row r="312" ht="12.75" customHeight="1" spans="1:32" x14ac:dyDescent="0.25">
      <c r="A312" s="179"/>
      <c r="B312" s="179"/>
      <c r="C312" s="179"/>
      <c r="D312" s="179"/>
      <c r="E312" s="179"/>
      <c r="F312" s="179"/>
      <c r="G312" s="179"/>
      <c r="H312" s="179"/>
      <c r="I312" s="181"/>
      <c r="J312" s="179"/>
      <c r="K312" s="179"/>
      <c r="L312" s="182"/>
      <c r="M312" s="182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32"/>
      <c r="Z312" s="179"/>
      <c r="AA312" s="179"/>
      <c r="AB312" s="179"/>
      <c r="AC312" s="179"/>
      <c r="AD312" s="132"/>
      <c r="AE312" s="179"/>
      <c r="AF312" s="179"/>
    </row>
    <row r="313" ht="12.75" customHeight="1" spans="1:32" x14ac:dyDescent="0.25">
      <c r="A313" s="179"/>
      <c r="B313" s="179"/>
      <c r="C313" s="179"/>
      <c r="D313" s="179"/>
      <c r="E313" s="179"/>
      <c r="F313" s="179"/>
      <c r="G313" s="179"/>
      <c r="H313" s="179"/>
      <c r="I313" s="181"/>
      <c r="J313" s="179"/>
      <c r="K313" s="179"/>
      <c r="L313" s="182"/>
      <c r="M313" s="182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32"/>
      <c r="Z313" s="179"/>
      <c r="AA313" s="179"/>
      <c r="AB313" s="179"/>
      <c r="AC313" s="179"/>
      <c r="AD313" s="132"/>
      <c r="AE313" s="179"/>
      <c r="AF313" s="179"/>
    </row>
    <row r="314" ht="12.75" customHeight="1" spans="1:32" x14ac:dyDescent="0.25">
      <c r="A314" s="179"/>
      <c r="B314" s="179"/>
      <c r="C314" s="179"/>
      <c r="D314" s="179"/>
      <c r="E314" s="179"/>
      <c r="F314" s="179"/>
      <c r="G314" s="179"/>
      <c r="H314" s="179"/>
      <c r="I314" s="181"/>
      <c r="J314" s="179"/>
      <c r="K314" s="179"/>
      <c r="L314" s="182"/>
      <c r="M314" s="182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32"/>
      <c r="Z314" s="179"/>
      <c r="AA314" s="179"/>
      <c r="AB314" s="179"/>
      <c r="AC314" s="179"/>
      <c r="AD314" s="132"/>
      <c r="AE314" s="179"/>
      <c r="AF314" s="179"/>
    </row>
    <row r="315" ht="12.75" customHeight="1" spans="1:32" x14ac:dyDescent="0.25">
      <c r="A315" s="179"/>
      <c r="B315" s="179"/>
      <c r="C315" s="179"/>
      <c r="D315" s="179"/>
      <c r="E315" s="179"/>
      <c r="F315" s="179"/>
      <c r="G315" s="179"/>
      <c r="H315" s="179"/>
      <c r="I315" s="181"/>
      <c r="J315" s="179"/>
      <c r="K315" s="179"/>
      <c r="L315" s="182"/>
      <c r="M315" s="182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32"/>
      <c r="Z315" s="179"/>
      <c r="AA315" s="179"/>
      <c r="AB315" s="179"/>
      <c r="AC315" s="179"/>
      <c r="AD315" s="132"/>
      <c r="AE315" s="179"/>
      <c r="AF315" s="179"/>
    </row>
    <row r="316" ht="12.75" customHeight="1" spans="1:32" x14ac:dyDescent="0.25">
      <c r="A316" s="179"/>
      <c r="B316" s="179"/>
      <c r="C316" s="179"/>
      <c r="D316" s="179"/>
      <c r="E316" s="179"/>
      <c r="F316" s="179"/>
      <c r="G316" s="179"/>
      <c r="H316" s="179"/>
      <c r="I316" s="181"/>
      <c r="J316" s="179"/>
      <c r="K316" s="179"/>
      <c r="L316" s="182"/>
      <c r="M316" s="182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32"/>
      <c r="Z316" s="179"/>
      <c r="AA316" s="179"/>
      <c r="AB316" s="179"/>
      <c r="AC316" s="179"/>
      <c r="AD316" s="132"/>
      <c r="AE316" s="179"/>
      <c r="AF316" s="179"/>
    </row>
    <row r="317" ht="12.75" customHeight="1" spans="1:32" x14ac:dyDescent="0.25">
      <c r="A317" s="179"/>
      <c r="B317" s="179"/>
      <c r="C317" s="179"/>
      <c r="D317" s="179"/>
      <c r="E317" s="179"/>
      <c r="F317" s="179"/>
      <c r="G317" s="179"/>
      <c r="H317" s="179"/>
      <c r="I317" s="181"/>
      <c r="J317" s="179"/>
      <c r="K317" s="179"/>
      <c r="L317" s="182"/>
      <c r="M317" s="182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32"/>
      <c r="Z317" s="179"/>
      <c r="AA317" s="179"/>
      <c r="AB317" s="179"/>
      <c r="AC317" s="179"/>
      <c r="AD317" s="132"/>
      <c r="AE317" s="179"/>
      <c r="AF317" s="179"/>
    </row>
    <row r="318" ht="12.75" customHeight="1" spans="1:32" x14ac:dyDescent="0.25">
      <c r="A318" s="179"/>
      <c r="B318" s="179"/>
      <c r="C318" s="179"/>
      <c r="D318" s="179"/>
      <c r="E318" s="179"/>
      <c r="F318" s="179"/>
      <c r="G318" s="179"/>
      <c r="H318" s="179"/>
      <c r="I318" s="181"/>
      <c r="J318" s="179"/>
      <c r="K318" s="179"/>
      <c r="L318" s="182"/>
      <c r="M318" s="182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32"/>
      <c r="Z318" s="179"/>
      <c r="AA318" s="179"/>
      <c r="AB318" s="179"/>
      <c r="AC318" s="179"/>
      <c r="AD318" s="132"/>
      <c r="AE318" s="179"/>
      <c r="AF318" s="179"/>
    </row>
    <row r="319" ht="12.75" customHeight="1" spans="1:32" x14ac:dyDescent="0.25">
      <c r="A319" s="179"/>
      <c r="B319" s="179"/>
      <c r="C319" s="179"/>
      <c r="D319" s="179"/>
      <c r="E319" s="179"/>
      <c r="F319" s="179"/>
      <c r="G319" s="179"/>
      <c r="H319" s="179"/>
      <c r="I319" s="181"/>
      <c r="J319" s="179"/>
      <c r="K319" s="179"/>
      <c r="L319" s="182"/>
      <c r="M319" s="182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32"/>
      <c r="Z319" s="179"/>
      <c r="AA319" s="179"/>
      <c r="AB319" s="179"/>
      <c r="AC319" s="179"/>
      <c r="AD319" s="132"/>
      <c r="AE319" s="179"/>
      <c r="AF319" s="179"/>
    </row>
    <row r="320" ht="12.75" customHeight="1" spans="1:32" x14ac:dyDescent="0.25">
      <c r="A320" s="179"/>
      <c r="B320" s="179"/>
      <c r="C320" s="179"/>
      <c r="D320" s="179"/>
      <c r="E320" s="179"/>
      <c r="F320" s="179"/>
      <c r="G320" s="179"/>
      <c r="H320" s="179"/>
      <c r="I320" s="181"/>
      <c r="J320" s="179"/>
      <c r="K320" s="179"/>
      <c r="L320" s="182"/>
      <c r="M320" s="182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32"/>
      <c r="Z320" s="179"/>
      <c r="AA320" s="179"/>
      <c r="AB320" s="179"/>
      <c r="AC320" s="179"/>
      <c r="AD320" s="132"/>
      <c r="AE320" s="179"/>
      <c r="AF320" s="179"/>
    </row>
    <row r="321" ht="12.75" customHeight="1" spans="1:32" x14ac:dyDescent="0.25">
      <c r="A321" s="179"/>
      <c r="B321" s="179"/>
      <c r="C321" s="179"/>
      <c r="D321" s="179"/>
      <c r="E321" s="179"/>
      <c r="F321" s="179"/>
      <c r="G321" s="179"/>
      <c r="H321" s="179"/>
      <c r="I321" s="181"/>
      <c r="J321" s="179"/>
      <c r="K321" s="179"/>
      <c r="L321" s="182"/>
      <c r="M321" s="182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32"/>
      <c r="Z321" s="179"/>
      <c r="AA321" s="179"/>
      <c r="AB321" s="179"/>
      <c r="AC321" s="179"/>
      <c r="AD321" s="132"/>
      <c r="AE321" s="179"/>
      <c r="AF321" s="179"/>
    </row>
    <row r="322" ht="12.75" customHeight="1" spans="1:32" x14ac:dyDescent="0.25">
      <c r="A322" s="179"/>
      <c r="B322" s="179"/>
      <c r="C322" s="179"/>
      <c r="D322" s="179"/>
      <c r="E322" s="179"/>
      <c r="F322" s="179"/>
      <c r="G322" s="179"/>
      <c r="H322" s="179"/>
      <c r="I322" s="181"/>
      <c r="J322" s="179"/>
      <c r="K322" s="179"/>
      <c r="L322" s="182"/>
      <c r="M322" s="182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32"/>
      <c r="Z322" s="179"/>
      <c r="AA322" s="179"/>
      <c r="AB322" s="179"/>
      <c r="AC322" s="179"/>
      <c r="AD322" s="132"/>
      <c r="AE322" s="179"/>
      <c r="AF322" s="179"/>
    </row>
    <row r="323" ht="12.75" customHeight="1" spans="1:32" x14ac:dyDescent="0.25">
      <c r="A323" s="179"/>
      <c r="B323" s="179"/>
      <c r="C323" s="179"/>
      <c r="D323" s="179"/>
      <c r="E323" s="179"/>
      <c r="F323" s="179"/>
      <c r="G323" s="179"/>
      <c r="H323" s="179"/>
      <c r="I323" s="181"/>
      <c r="J323" s="179"/>
      <c r="K323" s="179"/>
      <c r="L323" s="182"/>
      <c r="M323" s="182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32"/>
      <c r="Z323" s="179"/>
      <c r="AA323" s="179"/>
      <c r="AB323" s="179"/>
      <c r="AC323" s="179"/>
      <c r="AD323" s="132"/>
      <c r="AE323" s="179"/>
      <c r="AF323" s="179"/>
    </row>
    <row r="324" ht="12.75" customHeight="1" spans="1:32" x14ac:dyDescent="0.25">
      <c r="A324" s="179"/>
      <c r="B324" s="179"/>
      <c r="C324" s="179"/>
      <c r="D324" s="179"/>
      <c r="E324" s="179"/>
      <c r="F324" s="179"/>
      <c r="G324" s="179"/>
      <c r="H324" s="179"/>
      <c r="I324" s="181"/>
      <c r="J324" s="179"/>
      <c r="K324" s="179"/>
      <c r="L324" s="182"/>
      <c r="M324" s="182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32"/>
      <c r="Z324" s="179"/>
      <c r="AA324" s="179"/>
      <c r="AB324" s="179"/>
      <c r="AC324" s="179"/>
      <c r="AD324" s="132"/>
      <c r="AE324" s="179"/>
      <c r="AF324" s="179"/>
    </row>
    <row r="325" ht="12.75" customHeight="1" spans="1:32" x14ac:dyDescent="0.25">
      <c r="A325" s="179"/>
      <c r="B325" s="179"/>
      <c r="C325" s="179"/>
      <c r="D325" s="179"/>
      <c r="E325" s="179"/>
      <c r="F325" s="179"/>
      <c r="G325" s="179"/>
      <c r="H325" s="179"/>
      <c r="I325" s="181"/>
      <c r="J325" s="179"/>
      <c r="K325" s="179"/>
      <c r="L325" s="182"/>
      <c r="M325" s="182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32"/>
      <c r="Z325" s="179"/>
      <c r="AA325" s="179"/>
      <c r="AB325" s="179"/>
      <c r="AC325" s="179"/>
      <c r="AD325" s="132"/>
      <c r="AE325" s="179"/>
      <c r="AF325" s="179"/>
    </row>
    <row r="326" ht="12.75" customHeight="1" spans="1:32" x14ac:dyDescent="0.25">
      <c r="A326" s="179"/>
      <c r="B326" s="179"/>
      <c r="C326" s="179"/>
      <c r="D326" s="179"/>
      <c r="E326" s="179"/>
      <c r="F326" s="179"/>
      <c r="G326" s="179"/>
      <c r="H326" s="179"/>
      <c r="I326" s="181"/>
      <c r="J326" s="179"/>
      <c r="K326" s="179"/>
      <c r="L326" s="182"/>
      <c r="M326" s="182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32"/>
      <c r="Z326" s="179"/>
      <c r="AA326" s="179"/>
      <c r="AB326" s="179"/>
      <c r="AC326" s="179"/>
      <c r="AD326" s="132"/>
      <c r="AE326" s="179"/>
      <c r="AF326" s="179"/>
    </row>
    <row r="327" ht="12.75" customHeight="1" spans="1:32" x14ac:dyDescent="0.25">
      <c r="A327" s="179"/>
      <c r="B327" s="179"/>
      <c r="C327" s="179"/>
      <c r="D327" s="179"/>
      <c r="E327" s="179"/>
      <c r="F327" s="179"/>
      <c r="G327" s="179"/>
      <c r="H327" s="179"/>
      <c r="I327" s="181"/>
      <c r="J327" s="179"/>
      <c r="K327" s="179"/>
      <c r="L327" s="182"/>
      <c r="M327" s="182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32"/>
      <c r="Z327" s="179"/>
      <c r="AA327" s="179"/>
      <c r="AB327" s="179"/>
      <c r="AC327" s="179"/>
      <c r="AD327" s="132"/>
      <c r="AE327" s="179"/>
      <c r="AF327" s="179"/>
    </row>
    <row r="328" ht="12.75" customHeight="1" spans="1:32" x14ac:dyDescent="0.25">
      <c r="A328" s="179"/>
      <c r="B328" s="179"/>
      <c r="C328" s="179"/>
      <c r="D328" s="179"/>
      <c r="E328" s="179"/>
      <c r="F328" s="179"/>
      <c r="G328" s="179"/>
      <c r="H328" s="179"/>
      <c r="I328" s="181"/>
      <c r="J328" s="179"/>
      <c r="K328" s="179"/>
      <c r="L328" s="182"/>
      <c r="M328" s="182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32"/>
      <c r="Z328" s="179"/>
      <c r="AA328" s="179"/>
      <c r="AB328" s="179"/>
      <c r="AC328" s="179"/>
      <c r="AD328" s="132"/>
      <c r="AE328" s="179"/>
      <c r="AF328" s="179"/>
    </row>
    <row r="329" ht="12.75" customHeight="1" spans="1:32" x14ac:dyDescent="0.25">
      <c r="A329" s="179"/>
      <c r="B329" s="179"/>
      <c r="C329" s="179"/>
      <c r="D329" s="179"/>
      <c r="E329" s="179"/>
      <c r="F329" s="179"/>
      <c r="G329" s="179"/>
      <c r="H329" s="179"/>
      <c r="I329" s="181"/>
      <c r="J329" s="179"/>
      <c r="K329" s="179"/>
      <c r="L329" s="182"/>
      <c r="M329" s="182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32"/>
      <c r="Z329" s="179"/>
      <c r="AA329" s="179"/>
      <c r="AB329" s="179"/>
      <c r="AC329" s="179"/>
      <c r="AD329" s="132"/>
      <c r="AE329" s="179"/>
      <c r="AF329" s="179"/>
    </row>
    <row r="330" ht="12.75" customHeight="1" spans="1:32" x14ac:dyDescent="0.25">
      <c r="A330" s="179"/>
      <c r="B330" s="179"/>
      <c r="C330" s="179"/>
      <c r="D330" s="179"/>
      <c r="E330" s="179"/>
      <c r="F330" s="179"/>
      <c r="G330" s="179"/>
      <c r="H330" s="179"/>
      <c r="I330" s="181"/>
      <c r="J330" s="179"/>
      <c r="K330" s="179"/>
      <c r="L330" s="182"/>
      <c r="M330" s="182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32"/>
      <c r="Z330" s="179"/>
      <c r="AA330" s="179"/>
      <c r="AB330" s="179"/>
      <c r="AC330" s="179"/>
      <c r="AD330" s="132"/>
      <c r="AE330" s="179"/>
      <c r="AF330" s="179"/>
    </row>
    <row r="331" ht="12.75" customHeight="1" spans="1:32" x14ac:dyDescent="0.25">
      <c r="A331" s="179"/>
      <c r="B331" s="179"/>
      <c r="C331" s="179"/>
      <c r="D331" s="179"/>
      <c r="E331" s="179"/>
      <c r="F331" s="179"/>
      <c r="G331" s="179"/>
      <c r="H331" s="179"/>
      <c r="I331" s="181"/>
      <c r="J331" s="179"/>
      <c r="K331" s="179"/>
      <c r="L331" s="182"/>
      <c r="M331" s="182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32"/>
      <c r="Z331" s="179"/>
      <c r="AA331" s="179"/>
      <c r="AB331" s="179"/>
      <c r="AC331" s="179"/>
      <c r="AD331" s="132"/>
      <c r="AE331" s="179"/>
      <c r="AF331" s="179"/>
    </row>
    <row r="332" ht="12.75" customHeight="1" spans="1:32" x14ac:dyDescent="0.25">
      <c r="A332" s="179"/>
      <c r="B332" s="179"/>
      <c r="C332" s="179"/>
      <c r="D332" s="179"/>
      <c r="E332" s="179"/>
      <c r="F332" s="179"/>
      <c r="G332" s="179"/>
      <c r="H332" s="179"/>
      <c r="I332" s="181"/>
      <c r="J332" s="179"/>
      <c r="K332" s="179"/>
      <c r="L332" s="182"/>
      <c r="M332" s="182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32"/>
      <c r="Z332" s="179"/>
      <c r="AA332" s="179"/>
      <c r="AB332" s="179"/>
      <c r="AC332" s="179"/>
      <c r="AD332" s="132"/>
      <c r="AE332" s="179"/>
      <c r="AF332" s="179"/>
    </row>
    <row r="333" ht="12.75" customHeight="1" spans="1:32" x14ac:dyDescent="0.25">
      <c r="A333" s="179"/>
      <c r="B333" s="179"/>
      <c r="C333" s="179"/>
      <c r="D333" s="179"/>
      <c r="E333" s="179"/>
      <c r="F333" s="179"/>
      <c r="G333" s="179"/>
      <c r="H333" s="179"/>
      <c r="I333" s="181"/>
      <c r="J333" s="179"/>
      <c r="K333" s="179"/>
      <c r="L333" s="182"/>
      <c r="M333" s="182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32"/>
      <c r="Z333" s="179"/>
      <c r="AA333" s="179"/>
      <c r="AB333" s="179"/>
      <c r="AC333" s="179"/>
      <c r="AD333" s="132"/>
      <c r="AE333" s="179"/>
      <c r="AF333" s="179"/>
    </row>
    <row r="334" ht="12.75" customHeight="1" spans="1:32" x14ac:dyDescent="0.25">
      <c r="A334" s="179"/>
      <c r="B334" s="179"/>
      <c r="C334" s="179"/>
      <c r="D334" s="179"/>
      <c r="E334" s="179"/>
      <c r="F334" s="179"/>
      <c r="G334" s="179"/>
      <c r="H334" s="179"/>
      <c r="I334" s="181"/>
      <c r="J334" s="179"/>
      <c r="K334" s="179"/>
      <c r="L334" s="182"/>
      <c r="M334" s="182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32"/>
      <c r="Z334" s="179"/>
      <c r="AA334" s="179"/>
      <c r="AB334" s="179"/>
      <c r="AC334" s="179"/>
      <c r="AD334" s="132"/>
      <c r="AE334" s="179"/>
      <c r="AF334" s="179"/>
    </row>
    <row r="335" ht="12.75" customHeight="1" spans="1:32" x14ac:dyDescent="0.25">
      <c r="A335" s="179"/>
      <c r="B335" s="179"/>
      <c r="C335" s="179"/>
      <c r="D335" s="179"/>
      <c r="E335" s="179"/>
      <c r="F335" s="179"/>
      <c r="G335" s="179"/>
      <c r="H335" s="179"/>
      <c r="I335" s="181"/>
      <c r="J335" s="179"/>
      <c r="K335" s="179"/>
      <c r="L335" s="182"/>
      <c r="M335" s="182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32"/>
      <c r="Z335" s="179"/>
      <c r="AA335" s="179"/>
      <c r="AB335" s="179"/>
      <c r="AC335" s="179"/>
      <c r="AD335" s="132"/>
      <c r="AE335" s="179"/>
      <c r="AF335" s="179"/>
    </row>
    <row r="336" ht="12.75" customHeight="1" spans="1:32" x14ac:dyDescent="0.25">
      <c r="A336" s="179"/>
      <c r="B336" s="179"/>
      <c r="C336" s="179"/>
      <c r="D336" s="179"/>
      <c r="E336" s="179"/>
      <c r="F336" s="179"/>
      <c r="G336" s="179"/>
      <c r="H336" s="179"/>
      <c r="I336" s="181"/>
      <c r="J336" s="179"/>
      <c r="K336" s="179"/>
      <c r="L336" s="182"/>
      <c r="M336" s="182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32"/>
      <c r="Z336" s="179"/>
      <c r="AA336" s="179"/>
      <c r="AB336" s="179"/>
      <c r="AC336" s="179"/>
      <c r="AD336" s="132"/>
      <c r="AE336" s="179"/>
      <c r="AF336" s="179"/>
    </row>
    <row r="337" ht="12.75" customHeight="1" spans="1:32" x14ac:dyDescent="0.25">
      <c r="A337" s="179"/>
      <c r="B337" s="179"/>
      <c r="C337" s="179"/>
      <c r="D337" s="179"/>
      <c r="E337" s="179"/>
      <c r="F337" s="179"/>
      <c r="G337" s="179"/>
      <c r="H337" s="179"/>
      <c r="I337" s="181"/>
      <c r="J337" s="179"/>
      <c r="K337" s="179"/>
      <c r="L337" s="182"/>
      <c r="M337" s="182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32"/>
      <c r="Z337" s="179"/>
      <c r="AA337" s="179"/>
      <c r="AB337" s="179"/>
      <c r="AC337" s="179"/>
      <c r="AD337" s="132"/>
      <c r="AE337" s="179"/>
      <c r="AF337" s="179"/>
    </row>
    <row r="338" ht="12.75" customHeight="1" spans="1:32" x14ac:dyDescent="0.25">
      <c r="A338" s="179"/>
      <c r="B338" s="179"/>
      <c r="C338" s="179"/>
      <c r="D338" s="179"/>
      <c r="E338" s="179"/>
      <c r="F338" s="179"/>
      <c r="G338" s="179"/>
      <c r="H338" s="179"/>
      <c r="I338" s="181"/>
      <c r="J338" s="179"/>
      <c r="K338" s="179"/>
      <c r="L338" s="182"/>
      <c r="M338" s="182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32"/>
      <c r="Z338" s="179"/>
      <c r="AA338" s="179"/>
      <c r="AB338" s="179"/>
      <c r="AC338" s="179"/>
      <c r="AD338" s="132"/>
      <c r="AE338" s="179"/>
      <c r="AF338" s="179"/>
    </row>
    <row r="339" ht="12.75" customHeight="1" spans="1:32" x14ac:dyDescent="0.25">
      <c r="A339" s="179"/>
      <c r="B339" s="179"/>
      <c r="C339" s="179"/>
      <c r="D339" s="179"/>
      <c r="E339" s="179"/>
      <c r="F339" s="179"/>
      <c r="G339" s="179"/>
      <c r="H339" s="179"/>
      <c r="I339" s="181"/>
      <c r="J339" s="179"/>
      <c r="K339" s="179"/>
      <c r="L339" s="182"/>
      <c r="M339" s="182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32"/>
      <c r="Z339" s="179"/>
      <c r="AA339" s="179"/>
      <c r="AB339" s="179"/>
      <c r="AC339" s="179"/>
      <c r="AD339" s="132"/>
      <c r="AE339" s="179"/>
      <c r="AF339" s="179"/>
    </row>
    <row r="340" ht="12.75" customHeight="1" spans="1:32" x14ac:dyDescent="0.25">
      <c r="A340" s="179"/>
      <c r="B340" s="179"/>
      <c r="C340" s="179"/>
      <c r="D340" s="179"/>
      <c r="E340" s="179"/>
      <c r="F340" s="179"/>
      <c r="G340" s="179"/>
      <c r="H340" s="179"/>
      <c r="I340" s="181"/>
      <c r="J340" s="179"/>
      <c r="K340" s="179"/>
      <c r="L340" s="182"/>
      <c r="M340" s="182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32"/>
      <c r="Z340" s="179"/>
      <c r="AA340" s="179"/>
      <c r="AB340" s="179"/>
      <c r="AC340" s="179"/>
      <c r="AD340" s="132"/>
      <c r="AE340" s="179"/>
      <c r="AF340" s="179"/>
    </row>
    <row r="341" ht="12.75" customHeight="1" spans="1:32" x14ac:dyDescent="0.25">
      <c r="A341" s="179"/>
      <c r="B341" s="179"/>
      <c r="C341" s="179"/>
      <c r="D341" s="179"/>
      <c r="E341" s="179"/>
      <c r="F341" s="179"/>
      <c r="G341" s="179"/>
      <c r="H341" s="179"/>
      <c r="I341" s="181"/>
      <c r="J341" s="179"/>
      <c r="K341" s="179"/>
      <c r="L341" s="182"/>
      <c r="M341" s="182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32"/>
      <c r="Z341" s="179"/>
      <c r="AA341" s="179"/>
      <c r="AB341" s="179"/>
      <c r="AC341" s="179"/>
      <c r="AD341" s="132"/>
      <c r="AE341" s="179"/>
      <c r="AF341" s="179"/>
    </row>
    <row r="342" ht="12.75" customHeight="1" spans="1:32" x14ac:dyDescent="0.25">
      <c r="A342" s="179"/>
      <c r="B342" s="179"/>
      <c r="C342" s="179"/>
      <c r="D342" s="179"/>
      <c r="E342" s="179"/>
      <c r="F342" s="179"/>
      <c r="G342" s="179"/>
      <c r="H342" s="179"/>
      <c r="I342" s="181"/>
      <c r="J342" s="179"/>
      <c r="K342" s="179"/>
      <c r="L342" s="182"/>
      <c r="M342" s="182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32"/>
      <c r="Z342" s="179"/>
      <c r="AA342" s="179"/>
      <c r="AB342" s="179"/>
      <c r="AC342" s="179"/>
      <c r="AD342" s="132"/>
      <c r="AE342" s="179"/>
      <c r="AF342" s="179"/>
    </row>
    <row r="343" ht="12.75" customHeight="1" spans="1:32" x14ac:dyDescent="0.25">
      <c r="A343" s="179"/>
      <c r="B343" s="179"/>
      <c r="C343" s="179"/>
      <c r="D343" s="179"/>
      <c r="E343" s="179"/>
      <c r="F343" s="179"/>
      <c r="G343" s="179"/>
      <c r="H343" s="179"/>
      <c r="I343" s="181"/>
      <c r="J343" s="179"/>
      <c r="K343" s="179"/>
      <c r="L343" s="182"/>
      <c r="M343" s="182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32"/>
      <c r="Z343" s="179"/>
      <c r="AA343" s="179"/>
      <c r="AB343" s="179"/>
      <c r="AC343" s="179"/>
      <c r="AD343" s="132"/>
      <c r="AE343" s="179"/>
      <c r="AF343" s="179"/>
    </row>
    <row r="344" ht="12.75" customHeight="1" spans="1:32" x14ac:dyDescent="0.25">
      <c r="A344" s="179"/>
      <c r="B344" s="179"/>
      <c r="C344" s="179"/>
      <c r="D344" s="179"/>
      <c r="E344" s="179"/>
      <c r="F344" s="179"/>
      <c r="G344" s="179"/>
      <c r="H344" s="179"/>
      <c r="I344" s="181"/>
      <c r="J344" s="179"/>
      <c r="K344" s="179"/>
      <c r="L344" s="182"/>
      <c r="M344" s="182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32"/>
      <c r="Z344" s="179"/>
      <c r="AA344" s="179"/>
      <c r="AB344" s="179"/>
      <c r="AC344" s="179"/>
      <c r="AD344" s="132"/>
      <c r="AE344" s="179"/>
      <c r="AF344" s="179"/>
    </row>
    <row r="345" ht="12.75" customHeight="1" spans="1:32" x14ac:dyDescent="0.25">
      <c r="A345" s="179"/>
      <c r="B345" s="179"/>
      <c r="C345" s="179"/>
      <c r="D345" s="179"/>
      <c r="E345" s="179"/>
      <c r="F345" s="179"/>
      <c r="G345" s="179"/>
      <c r="H345" s="179"/>
      <c r="I345" s="181"/>
      <c r="J345" s="179"/>
      <c r="K345" s="179"/>
      <c r="L345" s="182"/>
      <c r="M345" s="182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32"/>
      <c r="Z345" s="179"/>
      <c r="AA345" s="179"/>
      <c r="AB345" s="179"/>
      <c r="AC345" s="179"/>
      <c r="AD345" s="132"/>
      <c r="AE345" s="179"/>
      <c r="AF345" s="179"/>
    </row>
    <row r="346" ht="12.75" customHeight="1" spans="1:32" x14ac:dyDescent="0.25">
      <c r="A346" s="179"/>
      <c r="B346" s="179"/>
      <c r="C346" s="179"/>
      <c r="D346" s="179"/>
      <c r="E346" s="179"/>
      <c r="F346" s="179"/>
      <c r="G346" s="179"/>
      <c r="H346" s="179"/>
      <c r="I346" s="181"/>
      <c r="J346" s="179"/>
      <c r="K346" s="179"/>
      <c r="L346" s="182"/>
      <c r="M346" s="182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32"/>
      <c r="Z346" s="179"/>
      <c r="AA346" s="179"/>
      <c r="AB346" s="179"/>
      <c r="AC346" s="179"/>
      <c r="AD346" s="132"/>
      <c r="AE346" s="179"/>
      <c r="AF346" s="179"/>
    </row>
    <row r="347" ht="12.75" customHeight="1" spans="1:32" x14ac:dyDescent="0.25">
      <c r="A347" s="179"/>
      <c r="B347" s="179"/>
      <c r="C347" s="179"/>
      <c r="D347" s="179"/>
      <c r="E347" s="179"/>
      <c r="F347" s="179"/>
      <c r="G347" s="179"/>
      <c r="H347" s="179"/>
      <c r="I347" s="181"/>
      <c r="J347" s="179"/>
      <c r="K347" s="179"/>
      <c r="L347" s="182"/>
      <c r="M347" s="182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32"/>
      <c r="Z347" s="179"/>
      <c r="AA347" s="179"/>
      <c r="AB347" s="179"/>
      <c r="AC347" s="179"/>
      <c r="AD347" s="132"/>
      <c r="AE347" s="179"/>
      <c r="AF347" s="179"/>
    </row>
    <row r="348" ht="12.75" customHeight="1" spans="1:32" x14ac:dyDescent="0.25">
      <c r="A348" s="179"/>
      <c r="B348" s="179"/>
      <c r="C348" s="179"/>
      <c r="D348" s="179"/>
      <c r="E348" s="179"/>
      <c r="F348" s="179"/>
      <c r="G348" s="179"/>
      <c r="H348" s="179"/>
      <c r="I348" s="181"/>
      <c r="J348" s="179"/>
      <c r="K348" s="179"/>
      <c r="L348" s="182"/>
      <c r="M348" s="182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32"/>
      <c r="Z348" s="179"/>
      <c r="AA348" s="179"/>
      <c r="AB348" s="179"/>
      <c r="AC348" s="179"/>
      <c r="AD348" s="132"/>
      <c r="AE348" s="179"/>
      <c r="AF348" s="179"/>
    </row>
    <row r="349" ht="12.75" customHeight="1" spans="1:32" x14ac:dyDescent="0.25">
      <c r="A349" s="179"/>
      <c r="B349" s="179"/>
      <c r="C349" s="179"/>
      <c r="D349" s="179"/>
      <c r="E349" s="179"/>
      <c r="F349" s="179"/>
      <c r="G349" s="179"/>
      <c r="H349" s="179"/>
      <c r="I349" s="181"/>
      <c r="J349" s="179"/>
      <c r="K349" s="179"/>
      <c r="L349" s="182"/>
      <c r="M349" s="182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32"/>
      <c r="Z349" s="179"/>
      <c r="AA349" s="179"/>
      <c r="AB349" s="179"/>
      <c r="AC349" s="179"/>
      <c r="AD349" s="132"/>
      <c r="AE349" s="179"/>
      <c r="AF349" s="179"/>
    </row>
    <row r="350" ht="12.75" customHeight="1" spans="1:32" x14ac:dyDescent="0.25">
      <c r="A350" s="179"/>
      <c r="B350" s="179"/>
      <c r="C350" s="179"/>
      <c r="D350" s="179"/>
      <c r="E350" s="179"/>
      <c r="F350" s="179"/>
      <c r="G350" s="179"/>
      <c r="H350" s="179"/>
      <c r="I350" s="181"/>
      <c r="J350" s="179"/>
      <c r="K350" s="179"/>
      <c r="L350" s="182"/>
      <c r="M350" s="182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32"/>
      <c r="Z350" s="179"/>
      <c r="AA350" s="179"/>
      <c r="AB350" s="179"/>
      <c r="AC350" s="179"/>
      <c r="AD350" s="132"/>
      <c r="AE350" s="179"/>
      <c r="AF350" s="179"/>
    </row>
    <row r="351" ht="12.75" customHeight="1" spans="1:32" x14ac:dyDescent="0.25">
      <c r="A351" s="179"/>
      <c r="B351" s="179"/>
      <c r="C351" s="179"/>
      <c r="D351" s="179"/>
      <c r="E351" s="179"/>
      <c r="F351" s="179"/>
      <c r="G351" s="179"/>
      <c r="H351" s="179"/>
      <c r="I351" s="181"/>
      <c r="J351" s="179"/>
      <c r="K351" s="179"/>
      <c r="L351" s="182"/>
      <c r="M351" s="182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32"/>
      <c r="Z351" s="179"/>
      <c r="AA351" s="179"/>
      <c r="AB351" s="179"/>
      <c r="AC351" s="179"/>
      <c r="AD351" s="132"/>
      <c r="AE351" s="179"/>
      <c r="AF351" s="179"/>
    </row>
    <row r="352" ht="12.75" customHeight="1" spans="1:32" x14ac:dyDescent="0.25">
      <c r="A352" s="179"/>
      <c r="B352" s="179"/>
      <c r="C352" s="179"/>
      <c r="D352" s="179"/>
      <c r="E352" s="179"/>
      <c r="F352" s="179"/>
      <c r="G352" s="179"/>
      <c r="H352" s="179"/>
      <c r="I352" s="181"/>
      <c r="J352" s="179"/>
      <c r="K352" s="179"/>
      <c r="L352" s="182"/>
      <c r="M352" s="182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32"/>
      <c r="Z352" s="179"/>
      <c r="AA352" s="179"/>
      <c r="AB352" s="179"/>
      <c r="AC352" s="179"/>
      <c r="AD352" s="132"/>
      <c r="AE352" s="179"/>
      <c r="AF352" s="179"/>
    </row>
    <row r="353" ht="12.75" customHeight="1" spans="1:32" x14ac:dyDescent="0.25">
      <c r="A353" s="179"/>
      <c r="B353" s="179"/>
      <c r="C353" s="179"/>
      <c r="D353" s="179"/>
      <c r="E353" s="179"/>
      <c r="F353" s="179"/>
      <c r="G353" s="179"/>
      <c r="H353" s="179"/>
      <c r="I353" s="181"/>
      <c r="J353" s="179"/>
      <c r="K353" s="179"/>
      <c r="L353" s="182"/>
      <c r="M353" s="182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32"/>
      <c r="Z353" s="179"/>
      <c r="AA353" s="179"/>
      <c r="AB353" s="179"/>
      <c r="AC353" s="179"/>
      <c r="AD353" s="132"/>
      <c r="AE353" s="179"/>
      <c r="AF353" s="179"/>
    </row>
    <row r="354" ht="12.75" customHeight="1" spans="1:32" x14ac:dyDescent="0.25">
      <c r="A354" s="179"/>
      <c r="B354" s="179"/>
      <c r="C354" s="179"/>
      <c r="D354" s="179"/>
      <c r="E354" s="179"/>
      <c r="F354" s="179"/>
      <c r="G354" s="179"/>
      <c r="H354" s="179"/>
      <c r="I354" s="181"/>
      <c r="J354" s="179"/>
      <c r="K354" s="179"/>
      <c r="L354" s="182"/>
      <c r="M354" s="182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32"/>
      <c r="Z354" s="179"/>
      <c r="AA354" s="179"/>
      <c r="AB354" s="179"/>
      <c r="AC354" s="179"/>
      <c r="AD354" s="132"/>
      <c r="AE354" s="179"/>
      <c r="AF354" s="179"/>
    </row>
    <row r="355" ht="12.75" customHeight="1" spans="1:32" x14ac:dyDescent="0.25">
      <c r="A355" s="179"/>
      <c r="B355" s="179"/>
      <c r="C355" s="179"/>
      <c r="D355" s="179"/>
      <c r="E355" s="179"/>
      <c r="F355" s="179"/>
      <c r="G355" s="179"/>
      <c r="H355" s="179"/>
      <c r="I355" s="181"/>
      <c r="J355" s="179"/>
      <c r="K355" s="179"/>
      <c r="L355" s="182"/>
      <c r="M355" s="182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32"/>
      <c r="Z355" s="179"/>
      <c r="AA355" s="179"/>
      <c r="AB355" s="179"/>
      <c r="AC355" s="179"/>
      <c r="AD355" s="132"/>
      <c r="AE355" s="179"/>
      <c r="AF355" s="179"/>
    </row>
    <row r="356" ht="12.75" customHeight="1" spans="1:32" x14ac:dyDescent="0.25">
      <c r="A356" s="179"/>
      <c r="B356" s="179"/>
      <c r="C356" s="179"/>
      <c r="D356" s="179"/>
      <c r="E356" s="179"/>
      <c r="F356" s="179"/>
      <c r="G356" s="179"/>
      <c r="H356" s="179"/>
      <c r="I356" s="181"/>
      <c r="J356" s="179"/>
      <c r="K356" s="179"/>
      <c r="L356" s="182"/>
      <c r="M356" s="182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32"/>
      <c r="Z356" s="179"/>
      <c r="AA356" s="179"/>
      <c r="AB356" s="179"/>
      <c r="AC356" s="179"/>
      <c r="AD356" s="132"/>
      <c r="AE356" s="179"/>
      <c r="AF356" s="179"/>
    </row>
    <row r="357" ht="12.75" customHeight="1" spans="1:32" x14ac:dyDescent="0.25">
      <c r="A357" s="179"/>
      <c r="B357" s="179"/>
      <c r="C357" s="179"/>
      <c r="D357" s="179"/>
      <c r="E357" s="179"/>
      <c r="F357" s="179"/>
      <c r="G357" s="179"/>
      <c r="H357" s="179"/>
      <c r="I357" s="181"/>
      <c r="J357" s="179"/>
      <c r="K357" s="179"/>
      <c r="L357" s="182"/>
      <c r="M357" s="182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32"/>
      <c r="Z357" s="179"/>
      <c r="AA357" s="179"/>
      <c r="AB357" s="179"/>
      <c r="AC357" s="179"/>
      <c r="AD357" s="132"/>
      <c r="AE357" s="179"/>
      <c r="AF357" s="179"/>
    </row>
    <row r="358" ht="12.75" customHeight="1" spans="1:32" x14ac:dyDescent="0.25">
      <c r="A358" s="179"/>
      <c r="B358" s="179"/>
      <c r="C358" s="179"/>
      <c r="D358" s="179"/>
      <c r="E358" s="179"/>
      <c r="F358" s="179"/>
      <c r="G358" s="179"/>
      <c r="H358" s="179"/>
      <c r="I358" s="181"/>
      <c r="J358" s="179"/>
      <c r="K358" s="179"/>
      <c r="L358" s="182"/>
      <c r="M358" s="182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32"/>
      <c r="Z358" s="179"/>
      <c r="AA358" s="179"/>
      <c r="AB358" s="179"/>
      <c r="AC358" s="179"/>
      <c r="AD358" s="132"/>
      <c r="AE358" s="179"/>
      <c r="AF358" s="179"/>
    </row>
    <row r="359" ht="12.75" customHeight="1" spans="1:32" x14ac:dyDescent="0.25">
      <c r="A359" s="179"/>
      <c r="B359" s="179"/>
      <c r="C359" s="179"/>
      <c r="D359" s="179"/>
      <c r="E359" s="179"/>
      <c r="F359" s="179"/>
      <c r="G359" s="179"/>
      <c r="H359" s="179"/>
      <c r="I359" s="181"/>
      <c r="J359" s="179"/>
      <c r="K359" s="179"/>
      <c r="L359" s="182"/>
      <c r="M359" s="182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32"/>
      <c r="Z359" s="179"/>
      <c r="AA359" s="179"/>
      <c r="AB359" s="179"/>
      <c r="AC359" s="179"/>
      <c r="AD359" s="132"/>
      <c r="AE359" s="179"/>
      <c r="AF359" s="179"/>
    </row>
    <row r="360" ht="12.75" customHeight="1" spans="1:32" x14ac:dyDescent="0.25">
      <c r="A360" s="179"/>
      <c r="B360" s="179"/>
      <c r="C360" s="179"/>
      <c r="D360" s="179"/>
      <c r="E360" s="179"/>
      <c r="F360" s="179"/>
      <c r="G360" s="179"/>
      <c r="H360" s="179"/>
      <c r="I360" s="181"/>
      <c r="J360" s="179"/>
      <c r="K360" s="179"/>
      <c r="L360" s="182"/>
      <c r="M360" s="182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32"/>
      <c r="Z360" s="179"/>
      <c r="AA360" s="179"/>
      <c r="AB360" s="179"/>
      <c r="AC360" s="179"/>
      <c r="AD360" s="132"/>
      <c r="AE360" s="179"/>
      <c r="AF360" s="179"/>
    </row>
    <row r="361" ht="12.75" customHeight="1" spans="1:32" x14ac:dyDescent="0.25">
      <c r="A361" s="179"/>
      <c r="B361" s="179"/>
      <c r="C361" s="179"/>
      <c r="D361" s="179"/>
      <c r="E361" s="179"/>
      <c r="F361" s="179"/>
      <c r="G361" s="179"/>
      <c r="H361" s="179"/>
      <c r="I361" s="181"/>
      <c r="J361" s="179"/>
      <c r="K361" s="179"/>
      <c r="L361" s="182"/>
      <c r="M361" s="182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32"/>
      <c r="Z361" s="179"/>
      <c r="AA361" s="179"/>
      <c r="AB361" s="179"/>
      <c r="AC361" s="179"/>
      <c r="AD361" s="132"/>
      <c r="AE361" s="179"/>
      <c r="AF361" s="179"/>
    </row>
    <row r="362" ht="12.75" customHeight="1" spans="1:32" x14ac:dyDescent="0.25">
      <c r="A362" s="179"/>
      <c r="B362" s="179"/>
      <c r="C362" s="179"/>
      <c r="D362" s="179"/>
      <c r="E362" s="179"/>
      <c r="F362" s="179"/>
      <c r="G362" s="179"/>
      <c r="H362" s="179"/>
      <c r="I362" s="181"/>
      <c r="J362" s="179"/>
      <c r="K362" s="179"/>
      <c r="L362" s="182"/>
      <c r="M362" s="182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32"/>
      <c r="Z362" s="179"/>
      <c r="AA362" s="179"/>
      <c r="AB362" s="179"/>
      <c r="AC362" s="179"/>
      <c r="AD362" s="132"/>
      <c r="AE362" s="179"/>
      <c r="AF362" s="179"/>
    </row>
    <row r="363" ht="12.75" customHeight="1" spans="1:32" x14ac:dyDescent="0.25">
      <c r="A363" s="179"/>
      <c r="B363" s="179"/>
      <c r="C363" s="179"/>
      <c r="D363" s="179"/>
      <c r="E363" s="179"/>
      <c r="F363" s="179"/>
      <c r="G363" s="179"/>
      <c r="H363" s="179"/>
      <c r="I363" s="181"/>
      <c r="J363" s="179"/>
      <c r="K363" s="179"/>
      <c r="L363" s="182"/>
      <c r="M363" s="182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32"/>
      <c r="Z363" s="179"/>
      <c r="AA363" s="179"/>
      <c r="AB363" s="179"/>
      <c r="AC363" s="179"/>
      <c r="AD363" s="132"/>
      <c r="AE363" s="179"/>
      <c r="AF363" s="179"/>
    </row>
    <row r="364" ht="12.75" customHeight="1" spans="1:32" x14ac:dyDescent="0.25">
      <c r="A364" s="179"/>
      <c r="B364" s="179"/>
      <c r="C364" s="179"/>
      <c r="D364" s="179"/>
      <c r="E364" s="179"/>
      <c r="F364" s="179"/>
      <c r="G364" s="179"/>
      <c r="H364" s="179"/>
      <c r="I364" s="181"/>
      <c r="J364" s="179"/>
      <c r="K364" s="179"/>
      <c r="L364" s="182"/>
      <c r="M364" s="182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32"/>
      <c r="Z364" s="179"/>
      <c r="AA364" s="179"/>
      <c r="AB364" s="179"/>
      <c r="AC364" s="179"/>
      <c r="AD364" s="132"/>
      <c r="AE364" s="179"/>
      <c r="AF364" s="179"/>
    </row>
    <row r="365" ht="12.75" customHeight="1" spans="1:32" x14ac:dyDescent="0.25">
      <c r="A365" s="179"/>
      <c r="B365" s="179"/>
      <c r="C365" s="179"/>
      <c r="D365" s="179"/>
      <c r="E365" s="179"/>
      <c r="F365" s="179"/>
      <c r="G365" s="179"/>
      <c r="H365" s="179"/>
      <c r="I365" s="181"/>
      <c r="J365" s="179"/>
      <c r="K365" s="179"/>
      <c r="L365" s="182"/>
      <c r="M365" s="182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32"/>
      <c r="Z365" s="179"/>
      <c r="AA365" s="179"/>
      <c r="AB365" s="179"/>
      <c r="AC365" s="179"/>
      <c r="AD365" s="132"/>
      <c r="AE365" s="179"/>
      <c r="AF365" s="179"/>
    </row>
    <row r="366" ht="12.75" customHeight="1" spans="1:32" x14ac:dyDescent="0.25">
      <c r="A366" s="179"/>
      <c r="B366" s="179"/>
      <c r="C366" s="179"/>
      <c r="D366" s="179"/>
      <c r="E366" s="179"/>
      <c r="F366" s="179"/>
      <c r="G366" s="179"/>
      <c r="H366" s="179"/>
      <c r="I366" s="181"/>
      <c r="J366" s="179"/>
      <c r="K366" s="179"/>
      <c r="L366" s="182"/>
      <c r="M366" s="182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32"/>
      <c r="Z366" s="179"/>
      <c r="AA366" s="179"/>
      <c r="AB366" s="179"/>
      <c r="AC366" s="179"/>
      <c r="AD366" s="132"/>
      <c r="AE366" s="179"/>
      <c r="AF366" s="179"/>
    </row>
    <row r="367" ht="12.75" customHeight="1" spans="1:32" x14ac:dyDescent="0.25">
      <c r="A367" s="179"/>
      <c r="B367" s="179"/>
      <c r="C367" s="179"/>
      <c r="D367" s="179"/>
      <c r="E367" s="179"/>
      <c r="F367" s="179"/>
      <c r="G367" s="179"/>
      <c r="H367" s="179"/>
      <c r="I367" s="181"/>
      <c r="J367" s="179"/>
      <c r="K367" s="179"/>
      <c r="L367" s="182"/>
      <c r="M367" s="182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32"/>
      <c r="Z367" s="179"/>
      <c r="AA367" s="179"/>
      <c r="AB367" s="179"/>
      <c r="AC367" s="179"/>
      <c r="AD367" s="132"/>
      <c r="AE367" s="179"/>
      <c r="AF367" s="179"/>
    </row>
    <row r="368" ht="12.75" customHeight="1" spans="1:32" x14ac:dyDescent="0.25">
      <c r="A368" s="179"/>
      <c r="B368" s="179"/>
      <c r="C368" s="179"/>
      <c r="D368" s="179"/>
      <c r="E368" s="179"/>
      <c r="F368" s="179"/>
      <c r="G368" s="179"/>
      <c r="H368" s="179"/>
      <c r="I368" s="181"/>
      <c r="J368" s="179"/>
      <c r="K368" s="179"/>
      <c r="L368" s="182"/>
      <c r="M368" s="182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32"/>
      <c r="Z368" s="179"/>
      <c r="AA368" s="179"/>
      <c r="AB368" s="179"/>
      <c r="AC368" s="179"/>
      <c r="AD368" s="132"/>
      <c r="AE368" s="179"/>
      <c r="AF368" s="179"/>
    </row>
    <row r="369" ht="12.75" customHeight="1" spans="1:32" x14ac:dyDescent="0.25">
      <c r="A369" s="179"/>
      <c r="B369" s="179"/>
      <c r="C369" s="179"/>
      <c r="D369" s="179"/>
      <c r="E369" s="179"/>
      <c r="F369" s="179"/>
      <c r="G369" s="179"/>
      <c r="H369" s="179"/>
      <c r="I369" s="181"/>
      <c r="J369" s="179"/>
      <c r="K369" s="179"/>
      <c r="L369" s="182"/>
      <c r="M369" s="182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32"/>
      <c r="Z369" s="179"/>
      <c r="AA369" s="179"/>
      <c r="AB369" s="179"/>
      <c r="AC369" s="179"/>
      <c r="AD369" s="132"/>
      <c r="AE369" s="179"/>
      <c r="AF369" s="179"/>
    </row>
    <row r="370" ht="12.75" customHeight="1" spans="1:32" x14ac:dyDescent="0.25">
      <c r="A370" s="179"/>
      <c r="B370" s="179"/>
      <c r="C370" s="179"/>
      <c r="D370" s="179"/>
      <c r="E370" s="179"/>
      <c r="F370" s="179"/>
      <c r="G370" s="179"/>
      <c r="H370" s="179"/>
      <c r="I370" s="181"/>
      <c r="J370" s="179"/>
      <c r="K370" s="179"/>
      <c r="L370" s="182"/>
      <c r="M370" s="182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32"/>
      <c r="Z370" s="179"/>
      <c r="AA370" s="179"/>
      <c r="AB370" s="179"/>
      <c r="AC370" s="179"/>
      <c r="AD370" s="132"/>
      <c r="AE370" s="179"/>
      <c r="AF370" s="179"/>
    </row>
    <row r="371" ht="12.75" customHeight="1" spans="1:32" x14ac:dyDescent="0.25">
      <c r="A371" s="179"/>
      <c r="B371" s="179"/>
      <c r="C371" s="179"/>
      <c r="D371" s="179"/>
      <c r="E371" s="179"/>
      <c r="F371" s="179"/>
      <c r="G371" s="179"/>
      <c r="H371" s="179"/>
      <c r="I371" s="181"/>
      <c r="J371" s="179"/>
      <c r="K371" s="179"/>
      <c r="L371" s="182"/>
      <c r="M371" s="182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32"/>
      <c r="Z371" s="179"/>
      <c r="AA371" s="179"/>
      <c r="AB371" s="179"/>
      <c r="AC371" s="179"/>
      <c r="AD371" s="132"/>
      <c r="AE371" s="179"/>
      <c r="AF371" s="179"/>
    </row>
    <row r="372" ht="12.75" customHeight="1" spans="1:32" x14ac:dyDescent="0.25">
      <c r="A372" s="179"/>
      <c r="B372" s="179"/>
      <c r="C372" s="179"/>
      <c r="D372" s="179"/>
      <c r="E372" s="179"/>
      <c r="F372" s="179"/>
      <c r="G372" s="179"/>
      <c r="H372" s="179"/>
      <c r="I372" s="181"/>
      <c r="J372" s="179"/>
      <c r="K372" s="179"/>
      <c r="L372" s="182"/>
      <c r="M372" s="182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32"/>
      <c r="Z372" s="179"/>
      <c r="AA372" s="179"/>
      <c r="AB372" s="179"/>
      <c r="AC372" s="179"/>
      <c r="AD372" s="132"/>
      <c r="AE372" s="179"/>
      <c r="AF372" s="179"/>
    </row>
    <row r="373" ht="12.75" customHeight="1" spans="1:32" x14ac:dyDescent="0.25">
      <c r="A373" s="179"/>
      <c r="B373" s="179"/>
      <c r="C373" s="179"/>
      <c r="D373" s="179"/>
      <c r="E373" s="179"/>
      <c r="F373" s="179"/>
      <c r="G373" s="179"/>
      <c r="H373" s="179"/>
      <c r="I373" s="181"/>
      <c r="J373" s="179"/>
      <c r="K373" s="179"/>
      <c r="L373" s="182"/>
      <c r="M373" s="182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32"/>
      <c r="Z373" s="179"/>
      <c r="AA373" s="179"/>
      <c r="AB373" s="179"/>
      <c r="AC373" s="179"/>
      <c r="AD373" s="132"/>
      <c r="AE373" s="179"/>
      <c r="AF373" s="179"/>
    </row>
    <row r="374" ht="12.75" customHeight="1" spans="1:32" x14ac:dyDescent="0.25">
      <c r="A374" s="179"/>
      <c r="B374" s="179"/>
      <c r="C374" s="179"/>
      <c r="D374" s="179"/>
      <c r="E374" s="179"/>
      <c r="F374" s="179"/>
      <c r="G374" s="179"/>
      <c r="H374" s="179"/>
      <c r="I374" s="181"/>
      <c r="J374" s="179"/>
      <c r="K374" s="179"/>
      <c r="L374" s="182"/>
      <c r="M374" s="182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32"/>
      <c r="Z374" s="179"/>
      <c r="AA374" s="179"/>
      <c r="AB374" s="179"/>
      <c r="AC374" s="179"/>
      <c r="AD374" s="132"/>
      <c r="AE374" s="179"/>
      <c r="AF374" s="179"/>
    </row>
    <row r="375" ht="12.75" customHeight="1" spans="1:32" x14ac:dyDescent="0.25">
      <c r="A375" s="179"/>
      <c r="B375" s="179"/>
      <c r="C375" s="179"/>
      <c r="D375" s="179"/>
      <c r="E375" s="179"/>
      <c r="F375" s="179"/>
      <c r="G375" s="179"/>
      <c r="H375" s="179"/>
      <c r="I375" s="181"/>
      <c r="J375" s="179"/>
      <c r="K375" s="179"/>
      <c r="L375" s="182"/>
      <c r="M375" s="182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32"/>
      <c r="Z375" s="179"/>
      <c r="AA375" s="179"/>
      <c r="AB375" s="179"/>
      <c r="AC375" s="179"/>
      <c r="AD375" s="132"/>
      <c r="AE375" s="179"/>
      <c r="AF375" s="179"/>
    </row>
    <row r="376" ht="12.75" customHeight="1" spans="1:32" x14ac:dyDescent="0.25">
      <c r="A376" s="179"/>
      <c r="B376" s="179"/>
      <c r="C376" s="179"/>
      <c r="D376" s="179"/>
      <c r="E376" s="179"/>
      <c r="F376" s="179"/>
      <c r="G376" s="179"/>
      <c r="H376" s="179"/>
      <c r="I376" s="181"/>
      <c r="J376" s="179"/>
      <c r="K376" s="179"/>
      <c r="L376" s="182"/>
      <c r="M376" s="182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32"/>
      <c r="Z376" s="179"/>
      <c r="AA376" s="179"/>
      <c r="AB376" s="179"/>
      <c r="AC376" s="179"/>
      <c r="AD376" s="132"/>
      <c r="AE376" s="179"/>
      <c r="AF376" s="179"/>
    </row>
    <row r="377" ht="12.75" customHeight="1" spans="1:32" x14ac:dyDescent="0.25">
      <c r="A377" s="179"/>
      <c r="B377" s="179"/>
      <c r="C377" s="179"/>
      <c r="D377" s="179"/>
      <c r="E377" s="179"/>
      <c r="F377" s="179"/>
      <c r="G377" s="179"/>
      <c r="H377" s="179"/>
      <c r="I377" s="181"/>
      <c r="J377" s="179"/>
      <c r="K377" s="179"/>
      <c r="L377" s="182"/>
      <c r="M377" s="182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32"/>
      <c r="Z377" s="179"/>
      <c r="AA377" s="179"/>
      <c r="AB377" s="179"/>
      <c r="AC377" s="179"/>
      <c r="AD377" s="132"/>
      <c r="AE377" s="179"/>
      <c r="AF377" s="179"/>
    </row>
    <row r="378" ht="12.75" customHeight="1" spans="1:32" x14ac:dyDescent="0.25">
      <c r="A378" s="179"/>
      <c r="B378" s="179"/>
      <c r="C378" s="179"/>
      <c r="D378" s="179"/>
      <c r="E378" s="179"/>
      <c r="F378" s="179"/>
      <c r="G378" s="179"/>
      <c r="H378" s="179"/>
      <c r="I378" s="181"/>
      <c r="J378" s="179"/>
      <c r="K378" s="179"/>
      <c r="L378" s="182"/>
      <c r="M378" s="182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32"/>
      <c r="Z378" s="179"/>
      <c r="AA378" s="179"/>
      <c r="AB378" s="179"/>
      <c r="AC378" s="179"/>
      <c r="AD378" s="132"/>
      <c r="AE378" s="179"/>
      <c r="AF378" s="179"/>
    </row>
    <row r="379" ht="12.75" customHeight="1" spans="1:32" x14ac:dyDescent="0.25">
      <c r="A379" s="179"/>
      <c r="B379" s="179"/>
      <c r="C379" s="179"/>
      <c r="D379" s="179"/>
      <c r="E379" s="179"/>
      <c r="F379" s="179"/>
      <c r="G379" s="179"/>
      <c r="H379" s="179"/>
      <c r="I379" s="181"/>
      <c r="J379" s="179"/>
      <c r="K379" s="179"/>
      <c r="L379" s="182"/>
      <c r="M379" s="182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32"/>
      <c r="Z379" s="179"/>
      <c r="AA379" s="179"/>
      <c r="AB379" s="179"/>
      <c r="AC379" s="179"/>
      <c r="AD379" s="132"/>
      <c r="AE379" s="179"/>
      <c r="AF379" s="179"/>
    </row>
    <row r="380" ht="12.75" customHeight="1" spans="1:32" x14ac:dyDescent="0.25">
      <c r="A380" s="179"/>
      <c r="B380" s="179"/>
      <c r="C380" s="179"/>
      <c r="D380" s="179"/>
      <c r="E380" s="179"/>
      <c r="F380" s="179"/>
      <c r="G380" s="179"/>
      <c r="H380" s="179"/>
      <c r="I380" s="181"/>
      <c r="J380" s="179"/>
      <c r="K380" s="179"/>
      <c r="L380" s="182"/>
      <c r="M380" s="182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32"/>
      <c r="Z380" s="179"/>
      <c r="AA380" s="179"/>
      <c r="AB380" s="179"/>
      <c r="AC380" s="179"/>
      <c r="AD380" s="132"/>
      <c r="AE380" s="179"/>
      <c r="AF380" s="179"/>
    </row>
    <row r="381" ht="12.75" customHeight="1" spans="1:32" x14ac:dyDescent="0.25">
      <c r="A381" s="179"/>
      <c r="B381" s="179"/>
      <c r="C381" s="179"/>
      <c r="D381" s="179"/>
      <c r="E381" s="179"/>
      <c r="F381" s="179"/>
      <c r="G381" s="179"/>
      <c r="H381" s="179"/>
      <c r="I381" s="181"/>
      <c r="J381" s="179"/>
      <c r="K381" s="179"/>
      <c r="L381" s="182"/>
      <c r="M381" s="182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32"/>
      <c r="Z381" s="179"/>
      <c r="AA381" s="179"/>
      <c r="AB381" s="179"/>
      <c r="AC381" s="179"/>
      <c r="AD381" s="132"/>
      <c r="AE381" s="179"/>
      <c r="AF381" s="179"/>
    </row>
    <row r="382" ht="12.75" customHeight="1" spans="1:32" x14ac:dyDescent="0.25">
      <c r="A382" s="179"/>
      <c r="B382" s="179"/>
      <c r="C382" s="179"/>
      <c r="D382" s="179"/>
      <c r="E382" s="179"/>
      <c r="F382" s="179"/>
      <c r="G382" s="179"/>
      <c r="H382" s="179"/>
      <c r="I382" s="181"/>
      <c r="J382" s="179"/>
      <c r="K382" s="179"/>
      <c r="L382" s="182"/>
      <c r="M382" s="182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32"/>
      <c r="Z382" s="179"/>
      <c r="AA382" s="179"/>
      <c r="AB382" s="179"/>
      <c r="AC382" s="179"/>
      <c r="AD382" s="132"/>
      <c r="AE382" s="179"/>
      <c r="AF382" s="179"/>
    </row>
    <row r="383" ht="12.75" customHeight="1" spans="1:32" x14ac:dyDescent="0.25">
      <c r="A383" s="179"/>
      <c r="B383" s="179"/>
      <c r="C383" s="179"/>
      <c r="D383" s="179"/>
      <c r="E383" s="179"/>
      <c r="F383" s="179"/>
      <c r="G383" s="179"/>
      <c r="H383" s="179"/>
      <c r="I383" s="181"/>
      <c r="J383" s="179"/>
      <c r="K383" s="179"/>
      <c r="L383" s="182"/>
      <c r="M383" s="182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32"/>
      <c r="Z383" s="179"/>
      <c r="AA383" s="179"/>
      <c r="AB383" s="179"/>
      <c r="AC383" s="179"/>
      <c r="AD383" s="132"/>
      <c r="AE383" s="179"/>
      <c r="AF383" s="179"/>
    </row>
    <row r="384" ht="12.75" customHeight="1" spans="1:32" x14ac:dyDescent="0.25">
      <c r="A384" s="179"/>
      <c r="B384" s="179"/>
      <c r="C384" s="179"/>
      <c r="D384" s="179"/>
      <c r="E384" s="179"/>
      <c r="F384" s="179"/>
      <c r="G384" s="179"/>
      <c r="H384" s="179"/>
      <c r="I384" s="181"/>
      <c r="J384" s="179"/>
      <c r="K384" s="179"/>
      <c r="L384" s="182"/>
      <c r="M384" s="182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32"/>
      <c r="Z384" s="179"/>
      <c r="AA384" s="179"/>
      <c r="AB384" s="179"/>
      <c r="AC384" s="179"/>
      <c r="AD384" s="132"/>
      <c r="AE384" s="179"/>
      <c r="AF384" s="179"/>
    </row>
    <row r="385" ht="12.75" customHeight="1" spans="1:32" x14ac:dyDescent="0.25">
      <c r="A385" s="179"/>
      <c r="B385" s="179"/>
      <c r="C385" s="179"/>
      <c r="D385" s="179"/>
      <c r="E385" s="179"/>
      <c r="F385" s="179"/>
      <c r="G385" s="179"/>
      <c r="H385" s="179"/>
      <c r="I385" s="181"/>
      <c r="J385" s="179"/>
      <c r="K385" s="179"/>
      <c r="L385" s="182"/>
      <c r="M385" s="182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32"/>
      <c r="Z385" s="179"/>
      <c r="AA385" s="179"/>
      <c r="AB385" s="179"/>
      <c r="AC385" s="179"/>
      <c r="AD385" s="132"/>
      <c r="AE385" s="179"/>
      <c r="AF385" s="179"/>
    </row>
    <row r="386" ht="12.75" customHeight="1" spans="1:32" x14ac:dyDescent="0.25">
      <c r="A386" s="179"/>
      <c r="B386" s="179"/>
      <c r="C386" s="179"/>
      <c r="D386" s="179"/>
      <c r="E386" s="179"/>
      <c r="F386" s="179"/>
      <c r="G386" s="179"/>
      <c r="H386" s="179"/>
      <c r="I386" s="181"/>
      <c r="J386" s="179"/>
      <c r="K386" s="179"/>
      <c r="L386" s="182"/>
      <c r="M386" s="182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32"/>
      <c r="Z386" s="179"/>
      <c r="AA386" s="179"/>
      <c r="AB386" s="179"/>
      <c r="AC386" s="179"/>
      <c r="AD386" s="132"/>
      <c r="AE386" s="179"/>
      <c r="AF386" s="179"/>
    </row>
    <row r="387" ht="12.75" customHeight="1" spans="1:32" x14ac:dyDescent="0.25">
      <c r="A387" s="179"/>
      <c r="B387" s="179"/>
      <c r="C387" s="179"/>
      <c r="D387" s="179"/>
      <c r="E387" s="179"/>
      <c r="F387" s="179"/>
      <c r="G387" s="179"/>
      <c r="H387" s="179"/>
      <c r="I387" s="181"/>
      <c r="J387" s="179"/>
      <c r="K387" s="179"/>
      <c r="L387" s="182"/>
      <c r="M387" s="182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32"/>
      <c r="Z387" s="179"/>
      <c r="AA387" s="179"/>
      <c r="AB387" s="179"/>
      <c r="AC387" s="179"/>
      <c r="AD387" s="132"/>
      <c r="AE387" s="179"/>
      <c r="AF387" s="179"/>
    </row>
    <row r="388" ht="12.75" customHeight="1" spans="1:32" x14ac:dyDescent="0.25">
      <c r="A388" s="179"/>
      <c r="B388" s="179"/>
      <c r="C388" s="179"/>
      <c r="D388" s="179"/>
      <c r="E388" s="179"/>
      <c r="F388" s="179"/>
      <c r="G388" s="179"/>
      <c r="H388" s="179"/>
      <c r="I388" s="181"/>
      <c r="J388" s="179"/>
      <c r="K388" s="179"/>
      <c r="L388" s="182"/>
      <c r="M388" s="182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32"/>
      <c r="Z388" s="179"/>
      <c r="AA388" s="179"/>
      <c r="AB388" s="179"/>
      <c r="AC388" s="179"/>
      <c r="AD388" s="132"/>
      <c r="AE388" s="179"/>
      <c r="AF388" s="179"/>
    </row>
    <row r="389" ht="12.75" customHeight="1" spans="1:32" x14ac:dyDescent="0.25">
      <c r="A389" s="179"/>
      <c r="B389" s="179"/>
      <c r="C389" s="179"/>
      <c r="D389" s="179"/>
      <c r="E389" s="179"/>
      <c r="F389" s="179"/>
      <c r="G389" s="179"/>
      <c r="H389" s="179"/>
      <c r="I389" s="181"/>
      <c r="J389" s="179"/>
      <c r="K389" s="179"/>
      <c r="L389" s="182"/>
      <c r="M389" s="182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32"/>
      <c r="Z389" s="179"/>
      <c r="AA389" s="179"/>
      <c r="AB389" s="179"/>
      <c r="AC389" s="179"/>
      <c r="AD389" s="132"/>
      <c r="AE389" s="179"/>
      <c r="AF389" s="179"/>
    </row>
    <row r="390" ht="12.75" customHeight="1" spans="1:32" x14ac:dyDescent="0.25">
      <c r="A390" s="179"/>
      <c r="B390" s="179"/>
      <c r="C390" s="179"/>
      <c r="D390" s="179"/>
      <c r="E390" s="179"/>
      <c r="F390" s="179"/>
      <c r="G390" s="179"/>
      <c r="H390" s="179"/>
      <c r="I390" s="181"/>
      <c r="J390" s="179"/>
      <c r="K390" s="179"/>
      <c r="L390" s="182"/>
      <c r="M390" s="182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32"/>
      <c r="Z390" s="179"/>
      <c r="AA390" s="179"/>
      <c r="AB390" s="179"/>
      <c r="AC390" s="179"/>
      <c r="AD390" s="132"/>
      <c r="AE390" s="179"/>
      <c r="AF390" s="179"/>
    </row>
    <row r="391" ht="12.75" customHeight="1" spans="1:32" x14ac:dyDescent="0.25">
      <c r="A391" s="179"/>
      <c r="B391" s="179"/>
      <c r="C391" s="179"/>
      <c r="D391" s="179"/>
      <c r="E391" s="179"/>
      <c r="F391" s="179"/>
      <c r="G391" s="179"/>
      <c r="H391" s="179"/>
      <c r="I391" s="181"/>
      <c r="J391" s="179"/>
      <c r="K391" s="179"/>
      <c r="L391" s="182"/>
      <c r="M391" s="182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32"/>
      <c r="Z391" s="179"/>
      <c r="AA391" s="179"/>
      <c r="AB391" s="179"/>
      <c r="AC391" s="179"/>
      <c r="AD391" s="132"/>
      <c r="AE391" s="179"/>
      <c r="AF391" s="179"/>
    </row>
    <row r="392" ht="12.75" customHeight="1" spans="1:32" x14ac:dyDescent="0.25">
      <c r="A392" s="179"/>
      <c r="B392" s="179"/>
      <c r="C392" s="179"/>
      <c r="D392" s="179"/>
      <c r="E392" s="179"/>
      <c r="F392" s="179"/>
      <c r="G392" s="179"/>
      <c r="H392" s="179"/>
      <c r="I392" s="181"/>
      <c r="J392" s="179"/>
      <c r="K392" s="179"/>
      <c r="L392" s="182"/>
      <c r="M392" s="182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32"/>
      <c r="Z392" s="179"/>
      <c r="AA392" s="179"/>
      <c r="AB392" s="179"/>
      <c r="AC392" s="179"/>
      <c r="AD392" s="132"/>
      <c r="AE392" s="179"/>
      <c r="AF392" s="179"/>
    </row>
    <row r="393" ht="12.75" customHeight="1" spans="1:32" x14ac:dyDescent="0.25">
      <c r="A393" s="179"/>
      <c r="B393" s="179"/>
      <c r="C393" s="179"/>
      <c r="D393" s="179"/>
      <c r="E393" s="179"/>
      <c r="F393" s="179"/>
      <c r="G393" s="179"/>
      <c r="H393" s="179"/>
      <c r="I393" s="181"/>
      <c r="J393" s="179"/>
      <c r="K393" s="179"/>
      <c r="L393" s="182"/>
      <c r="M393" s="182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32"/>
      <c r="Z393" s="179"/>
      <c r="AA393" s="179"/>
      <c r="AB393" s="179"/>
      <c r="AC393" s="179"/>
      <c r="AD393" s="132"/>
      <c r="AE393" s="179"/>
      <c r="AF393" s="179"/>
    </row>
    <row r="394" ht="12.75" customHeight="1" spans="1:32" x14ac:dyDescent="0.25">
      <c r="A394" s="179"/>
      <c r="B394" s="179"/>
      <c r="C394" s="179"/>
      <c r="D394" s="179"/>
      <c r="E394" s="179"/>
      <c r="F394" s="179"/>
      <c r="G394" s="179"/>
      <c r="H394" s="179"/>
      <c r="I394" s="181"/>
      <c r="J394" s="179"/>
      <c r="K394" s="179"/>
      <c r="L394" s="182"/>
      <c r="M394" s="182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32"/>
      <c r="Z394" s="179"/>
      <c r="AA394" s="179"/>
      <c r="AB394" s="179"/>
      <c r="AC394" s="179"/>
      <c r="AD394" s="132"/>
      <c r="AE394" s="179"/>
      <c r="AF394" s="179"/>
    </row>
    <row r="395" ht="12.75" customHeight="1" spans="1:32" x14ac:dyDescent="0.25">
      <c r="A395" s="179"/>
      <c r="B395" s="179"/>
      <c r="C395" s="179"/>
      <c r="D395" s="179"/>
      <c r="E395" s="179"/>
      <c r="F395" s="179"/>
      <c r="G395" s="179"/>
      <c r="H395" s="179"/>
      <c r="I395" s="181"/>
      <c r="J395" s="179"/>
      <c r="K395" s="179"/>
      <c r="L395" s="182"/>
      <c r="M395" s="182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32"/>
      <c r="Z395" s="179"/>
      <c r="AA395" s="179"/>
      <c r="AB395" s="179"/>
      <c r="AC395" s="179"/>
      <c r="AD395" s="132"/>
      <c r="AE395" s="179"/>
      <c r="AF395" s="179"/>
    </row>
    <row r="396" ht="12.75" customHeight="1" spans="1:32" x14ac:dyDescent="0.25">
      <c r="A396" s="179"/>
      <c r="B396" s="179"/>
      <c r="C396" s="179"/>
      <c r="D396" s="179"/>
      <c r="E396" s="179"/>
      <c r="F396" s="179"/>
      <c r="G396" s="179"/>
      <c r="H396" s="179"/>
      <c r="I396" s="181"/>
      <c r="J396" s="179"/>
      <c r="K396" s="179"/>
      <c r="L396" s="182"/>
      <c r="M396" s="182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32"/>
      <c r="Z396" s="179"/>
      <c r="AA396" s="179"/>
      <c r="AB396" s="179"/>
      <c r="AC396" s="179"/>
      <c r="AD396" s="132"/>
      <c r="AE396" s="179"/>
      <c r="AF396" s="179"/>
    </row>
    <row r="397" ht="12.75" customHeight="1" spans="1:32" x14ac:dyDescent="0.25">
      <c r="A397" s="179"/>
      <c r="B397" s="179"/>
      <c r="C397" s="179"/>
      <c r="D397" s="179"/>
      <c r="E397" s="179"/>
      <c r="F397" s="179"/>
      <c r="G397" s="179"/>
      <c r="H397" s="179"/>
      <c r="I397" s="181"/>
      <c r="J397" s="179"/>
      <c r="K397" s="179"/>
      <c r="L397" s="182"/>
      <c r="M397" s="182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32"/>
      <c r="Z397" s="179"/>
      <c r="AA397" s="179"/>
      <c r="AB397" s="179"/>
      <c r="AC397" s="179"/>
      <c r="AD397" s="132"/>
      <c r="AE397" s="179"/>
      <c r="AF397" s="179"/>
    </row>
    <row r="398" ht="12.75" customHeight="1" spans="1:32" x14ac:dyDescent="0.25">
      <c r="A398" s="179"/>
      <c r="B398" s="179"/>
      <c r="C398" s="179"/>
      <c r="D398" s="179"/>
      <c r="E398" s="179"/>
      <c r="F398" s="179"/>
      <c r="G398" s="179"/>
      <c r="H398" s="179"/>
      <c r="I398" s="181"/>
      <c r="J398" s="179"/>
      <c r="K398" s="179"/>
      <c r="L398" s="182"/>
      <c r="M398" s="182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32"/>
      <c r="Z398" s="179"/>
      <c r="AA398" s="179"/>
      <c r="AB398" s="179"/>
      <c r="AC398" s="179"/>
      <c r="AD398" s="132"/>
      <c r="AE398" s="179"/>
      <c r="AF398" s="179"/>
    </row>
    <row r="399" ht="12.75" customHeight="1" spans="1:32" x14ac:dyDescent="0.25">
      <c r="A399" s="179"/>
      <c r="B399" s="179"/>
      <c r="C399" s="179"/>
      <c r="D399" s="179"/>
      <c r="E399" s="179"/>
      <c r="F399" s="179"/>
      <c r="G399" s="179"/>
      <c r="H399" s="179"/>
      <c r="I399" s="181"/>
      <c r="J399" s="179"/>
      <c r="K399" s="179"/>
      <c r="L399" s="182"/>
      <c r="M399" s="182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32"/>
      <c r="Z399" s="179"/>
      <c r="AA399" s="179"/>
      <c r="AB399" s="179"/>
      <c r="AC399" s="179"/>
      <c r="AD399" s="132"/>
      <c r="AE399" s="179"/>
      <c r="AF399" s="179"/>
    </row>
    <row r="400" ht="12.75" customHeight="1" spans="1:32" x14ac:dyDescent="0.25">
      <c r="A400" s="179"/>
      <c r="B400" s="179"/>
      <c r="C400" s="179"/>
      <c r="D400" s="179"/>
      <c r="E400" s="179"/>
      <c r="F400" s="179"/>
      <c r="G400" s="179"/>
      <c r="H400" s="179"/>
      <c r="I400" s="181"/>
      <c r="J400" s="179"/>
      <c r="K400" s="179"/>
      <c r="L400" s="182"/>
      <c r="M400" s="182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32"/>
      <c r="Z400" s="179"/>
      <c r="AA400" s="179"/>
      <c r="AB400" s="179"/>
      <c r="AC400" s="179"/>
      <c r="AD400" s="132"/>
      <c r="AE400" s="179"/>
      <c r="AF400" s="179"/>
    </row>
    <row r="401" ht="12.75" customHeight="1" spans="1:32" x14ac:dyDescent="0.25">
      <c r="A401" s="179"/>
      <c r="B401" s="179"/>
      <c r="C401" s="179"/>
      <c r="D401" s="179"/>
      <c r="E401" s="179"/>
      <c r="F401" s="179"/>
      <c r="G401" s="179"/>
      <c r="H401" s="179"/>
      <c r="I401" s="181"/>
      <c r="J401" s="179"/>
      <c r="K401" s="179"/>
      <c r="L401" s="182"/>
      <c r="M401" s="182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32"/>
      <c r="Z401" s="179"/>
      <c r="AA401" s="179"/>
      <c r="AB401" s="179"/>
      <c r="AC401" s="179"/>
      <c r="AD401" s="132"/>
      <c r="AE401" s="179"/>
      <c r="AF401" s="179"/>
    </row>
    <row r="402" ht="12.75" customHeight="1" spans="1:32" x14ac:dyDescent="0.25">
      <c r="A402" s="179"/>
      <c r="B402" s="179"/>
      <c r="C402" s="179"/>
      <c r="D402" s="179"/>
      <c r="E402" s="179"/>
      <c r="F402" s="179"/>
      <c r="G402" s="179"/>
      <c r="H402" s="179"/>
      <c r="I402" s="181"/>
      <c r="J402" s="179"/>
      <c r="K402" s="179"/>
      <c r="L402" s="182"/>
      <c r="M402" s="182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32"/>
      <c r="Z402" s="179"/>
      <c r="AA402" s="179"/>
      <c r="AB402" s="179"/>
      <c r="AC402" s="179"/>
      <c r="AD402" s="132"/>
      <c r="AE402" s="179"/>
      <c r="AF402" s="179"/>
    </row>
    <row r="403" ht="12.75" customHeight="1" spans="1:32" x14ac:dyDescent="0.25">
      <c r="A403" s="179"/>
      <c r="B403" s="179"/>
      <c r="C403" s="179"/>
      <c r="D403" s="179"/>
      <c r="E403" s="179"/>
      <c r="F403" s="179"/>
      <c r="G403" s="179"/>
      <c r="H403" s="179"/>
      <c r="I403" s="181"/>
      <c r="J403" s="179"/>
      <c r="K403" s="179"/>
      <c r="L403" s="182"/>
      <c r="M403" s="182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32"/>
      <c r="Z403" s="179"/>
      <c r="AA403" s="179"/>
      <c r="AB403" s="179"/>
      <c r="AC403" s="179"/>
      <c r="AD403" s="132"/>
      <c r="AE403" s="179"/>
      <c r="AF403" s="179"/>
    </row>
    <row r="404" ht="12.75" customHeight="1" spans="1:32" x14ac:dyDescent="0.25">
      <c r="A404" s="179"/>
      <c r="B404" s="179"/>
      <c r="C404" s="179"/>
      <c r="D404" s="179"/>
      <c r="E404" s="179"/>
      <c r="F404" s="179"/>
      <c r="G404" s="179"/>
      <c r="H404" s="179"/>
      <c r="I404" s="181"/>
      <c r="J404" s="179"/>
      <c r="K404" s="179"/>
      <c r="L404" s="182"/>
      <c r="M404" s="182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32"/>
      <c r="Z404" s="179"/>
      <c r="AA404" s="179"/>
      <c r="AB404" s="179"/>
      <c r="AC404" s="179"/>
      <c r="AD404" s="132"/>
      <c r="AE404" s="179"/>
      <c r="AF404" s="179"/>
    </row>
    <row r="405" ht="12.75" customHeight="1" spans="1:32" x14ac:dyDescent="0.25">
      <c r="A405" s="179"/>
      <c r="B405" s="179"/>
      <c r="C405" s="179"/>
      <c r="D405" s="179"/>
      <c r="E405" s="179"/>
      <c r="F405" s="179"/>
      <c r="G405" s="179"/>
      <c r="H405" s="179"/>
      <c r="I405" s="181"/>
      <c r="J405" s="179"/>
      <c r="K405" s="179"/>
      <c r="L405" s="182"/>
      <c r="M405" s="182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32"/>
      <c r="Z405" s="179"/>
      <c r="AA405" s="179"/>
      <c r="AB405" s="179"/>
      <c r="AC405" s="179"/>
      <c r="AD405" s="132"/>
      <c r="AE405" s="179"/>
      <c r="AF405" s="179"/>
    </row>
    <row r="406" ht="12.75" customHeight="1" spans="1:32" x14ac:dyDescent="0.25">
      <c r="A406" s="179"/>
      <c r="B406" s="179"/>
      <c r="C406" s="179"/>
      <c r="D406" s="179"/>
      <c r="E406" s="179"/>
      <c r="F406" s="179"/>
      <c r="G406" s="179"/>
      <c r="H406" s="179"/>
      <c r="I406" s="181"/>
      <c r="J406" s="179"/>
      <c r="K406" s="179"/>
      <c r="L406" s="182"/>
      <c r="M406" s="182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32"/>
      <c r="Z406" s="179"/>
      <c r="AA406" s="179"/>
      <c r="AB406" s="179"/>
      <c r="AC406" s="179"/>
      <c r="AD406" s="132"/>
      <c r="AE406" s="179"/>
      <c r="AF406" s="179"/>
    </row>
    <row r="407" ht="12.75" customHeight="1" spans="1:32" x14ac:dyDescent="0.25">
      <c r="A407" s="179"/>
      <c r="B407" s="179"/>
      <c r="C407" s="179"/>
      <c r="D407" s="179"/>
      <c r="E407" s="179"/>
      <c r="F407" s="179"/>
      <c r="G407" s="179"/>
      <c r="H407" s="179"/>
      <c r="I407" s="181"/>
      <c r="J407" s="179"/>
      <c r="K407" s="179"/>
      <c r="L407" s="182"/>
      <c r="M407" s="182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32"/>
      <c r="Z407" s="179"/>
      <c r="AA407" s="179"/>
      <c r="AB407" s="179"/>
      <c r="AC407" s="179"/>
      <c r="AD407" s="132"/>
      <c r="AE407" s="179"/>
      <c r="AF407" s="179"/>
    </row>
    <row r="408" ht="12.75" customHeight="1" spans="1:32" x14ac:dyDescent="0.25">
      <c r="A408" s="179"/>
      <c r="B408" s="179"/>
      <c r="C408" s="179"/>
      <c r="D408" s="179"/>
      <c r="E408" s="179"/>
      <c r="F408" s="179"/>
      <c r="G408" s="179"/>
      <c r="H408" s="179"/>
      <c r="I408" s="181"/>
      <c r="J408" s="179"/>
      <c r="K408" s="179"/>
      <c r="L408" s="182"/>
      <c r="M408" s="182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32"/>
      <c r="Z408" s="179"/>
      <c r="AA408" s="179"/>
      <c r="AB408" s="179"/>
      <c r="AC408" s="179"/>
      <c r="AD408" s="132"/>
      <c r="AE408" s="179"/>
      <c r="AF408" s="179"/>
    </row>
    <row r="409" ht="12.75" customHeight="1" spans="1:32" x14ac:dyDescent="0.25">
      <c r="A409" s="179"/>
      <c r="B409" s="179"/>
      <c r="C409" s="179"/>
      <c r="D409" s="179"/>
      <c r="E409" s="179"/>
      <c r="F409" s="179"/>
      <c r="G409" s="179"/>
      <c r="H409" s="179"/>
      <c r="I409" s="181"/>
      <c r="J409" s="179"/>
      <c r="K409" s="179"/>
      <c r="L409" s="182"/>
      <c r="M409" s="182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32"/>
      <c r="Z409" s="179"/>
      <c r="AA409" s="179"/>
      <c r="AB409" s="179"/>
      <c r="AC409" s="179"/>
      <c r="AD409" s="132"/>
      <c r="AE409" s="179"/>
      <c r="AF409" s="179"/>
    </row>
    <row r="410" ht="12.75" customHeight="1" spans="1:32" x14ac:dyDescent="0.25">
      <c r="A410" s="179"/>
      <c r="B410" s="179"/>
      <c r="C410" s="179"/>
      <c r="D410" s="179"/>
      <c r="E410" s="179"/>
      <c r="F410" s="179"/>
      <c r="G410" s="179"/>
      <c r="H410" s="179"/>
      <c r="I410" s="181"/>
      <c r="J410" s="179"/>
      <c r="K410" s="179"/>
      <c r="L410" s="182"/>
      <c r="M410" s="182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32"/>
      <c r="Z410" s="179"/>
      <c r="AA410" s="179"/>
      <c r="AB410" s="179"/>
      <c r="AC410" s="179"/>
      <c r="AD410" s="132"/>
      <c r="AE410" s="179"/>
      <c r="AF410" s="179"/>
    </row>
    <row r="411" ht="12.75" customHeight="1" spans="1:32" x14ac:dyDescent="0.25">
      <c r="A411" s="179"/>
      <c r="B411" s="179"/>
      <c r="C411" s="179"/>
      <c r="D411" s="179"/>
      <c r="E411" s="179"/>
      <c r="F411" s="179"/>
      <c r="G411" s="179"/>
      <c r="H411" s="179"/>
      <c r="I411" s="181"/>
      <c r="J411" s="179"/>
      <c r="K411" s="179"/>
      <c r="L411" s="182"/>
      <c r="M411" s="182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32"/>
      <c r="Z411" s="179"/>
      <c r="AA411" s="179"/>
      <c r="AB411" s="179"/>
      <c r="AC411" s="179"/>
      <c r="AD411" s="132"/>
      <c r="AE411" s="179"/>
      <c r="AF411" s="179"/>
    </row>
    <row r="412" ht="12.75" customHeight="1" spans="1:32" x14ac:dyDescent="0.25">
      <c r="A412" s="179"/>
      <c r="B412" s="179"/>
      <c r="C412" s="179"/>
      <c r="D412" s="179"/>
      <c r="E412" s="179"/>
      <c r="F412" s="179"/>
      <c r="G412" s="179"/>
      <c r="H412" s="179"/>
      <c r="I412" s="181"/>
      <c r="J412" s="179"/>
      <c r="K412" s="179"/>
      <c r="L412" s="182"/>
      <c r="M412" s="182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32"/>
      <c r="Z412" s="179"/>
      <c r="AA412" s="179"/>
      <c r="AB412" s="179"/>
      <c r="AC412" s="179"/>
      <c r="AD412" s="132"/>
      <c r="AE412" s="179"/>
      <c r="AF412" s="179"/>
    </row>
    <row r="413" ht="12.75" customHeight="1" spans="1:32" x14ac:dyDescent="0.25">
      <c r="A413" s="179"/>
      <c r="B413" s="179"/>
      <c r="C413" s="179"/>
      <c r="D413" s="179"/>
      <c r="E413" s="179"/>
      <c r="F413" s="179"/>
      <c r="G413" s="179"/>
      <c r="H413" s="179"/>
      <c r="I413" s="181"/>
      <c r="J413" s="179"/>
      <c r="K413" s="179"/>
      <c r="L413" s="182"/>
      <c r="M413" s="182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32"/>
      <c r="Z413" s="179"/>
      <c r="AA413" s="179"/>
      <c r="AB413" s="179"/>
      <c r="AC413" s="179"/>
      <c r="AD413" s="132"/>
      <c r="AE413" s="179"/>
      <c r="AF413" s="179"/>
    </row>
    <row r="414" ht="12.75" customHeight="1" spans="1:32" x14ac:dyDescent="0.25">
      <c r="A414" s="179"/>
      <c r="B414" s="179"/>
      <c r="C414" s="179"/>
      <c r="D414" s="179"/>
      <c r="E414" s="179"/>
      <c r="F414" s="179"/>
      <c r="G414" s="179"/>
      <c r="H414" s="179"/>
      <c r="I414" s="181"/>
      <c r="J414" s="179"/>
      <c r="K414" s="179"/>
      <c r="L414" s="182"/>
      <c r="M414" s="182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32"/>
      <c r="Z414" s="179"/>
      <c r="AA414" s="179"/>
      <c r="AB414" s="179"/>
      <c r="AC414" s="179"/>
      <c r="AD414" s="132"/>
      <c r="AE414" s="179"/>
      <c r="AF414" s="179"/>
    </row>
    <row r="415" ht="12.75" customHeight="1" spans="1:32" x14ac:dyDescent="0.25">
      <c r="A415" s="179"/>
      <c r="B415" s="179"/>
      <c r="C415" s="179"/>
      <c r="D415" s="179"/>
      <c r="E415" s="179"/>
      <c r="F415" s="179"/>
      <c r="G415" s="179"/>
      <c r="H415" s="179"/>
      <c r="I415" s="181"/>
      <c r="J415" s="179"/>
      <c r="K415" s="179"/>
      <c r="L415" s="182"/>
      <c r="M415" s="182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32"/>
      <c r="Z415" s="179"/>
      <c r="AA415" s="179"/>
      <c r="AB415" s="179"/>
      <c r="AC415" s="179"/>
      <c r="AD415" s="132"/>
      <c r="AE415" s="179"/>
      <c r="AF415" s="179"/>
    </row>
    <row r="416" ht="12.75" customHeight="1" spans="1:32" x14ac:dyDescent="0.25">
      <c r="A416" s="179"/>
      <c r="B416" s="179"/>
      <c r="C416" s="179"/>
      <c r="D416" s="179"/>
      <c r="E416" s="179"/>
      <c r="F416" s="179"/>
      <c r="G416" s="179"/>
      <c r="H416" s="179"/>
      <c r="I416" s="181"/>
      <c r="J416" s="179"/>
      <c r="K416" s="179"/>
      <c r="L416" s="182"/>
      <c r="M416" s="182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32"/>
      <c r="Z416" s="179"/>
      <c r="AA416" s="179"/>
      <c r="AB416" s="179"/>
      <c r="AC416" s="179"/>
      <c r="AD416" s="132"/>
      <c r="AE416" s="179"/>
      <c r="AF416" s="179"/>
    </row>
    <row r="417" ht="12.75" customHeight="1" spans="1:32" x14ac:dyDescent="0.25">
      <c r="A417" s="179"/>
      <c r="B417" s="179"/>
      <c r="C417" s="179"/>
      <c r="D417" s="179"/>
      <c r="E417" s="179"/>
      <c r="F417" s="179"/>
      <c r="G417" s="179"/>
      <c r="H417" s="179"/>
      <c r="I417" s="181"/>
      <c r="J417" s="179"/>
      <c r="K417" s="179"/>
      <c r="L417" s="182"/>
      <c r="M417" s="182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32"/>
      <c r="Z417" s="179"/>
      <c r="AA417" s="179"/>
      <c r="AB417" s="179"/>
      <c r="AC417" s="179"/>
      <c r="AD417" s="132"/>
      <c r="AE417" s="179"/>
      <c r="AF417" s="179"/>
    </row>
    <row r="418" ht="12.75" customHeight="1" spans="1:32" x14ac:dyDescent="0.25">
      <c r="A418" s="179"/>
      <c r="B418" s="179"/>
      <c r="C418" s="179"/>
      <c r="D418" s="179"/>
      <c r="E418" s="179"/>
      <c r="F418" s="179"/>
      <c r="G418" s="179"/>
      <c r="H418" s="179"/>
      <c r="I418" s="181"/>
      <c r="J418" s="179"/>
      <c r="K418" s="179"/>
      <c r="L418" s="182"/>
      <c r="M418" s="182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32"/>
      <c r="Z418" s="179"/>
      <c r="AA418" s="179"/>
      <c r="AB418" s="179"/>
      <c r="AC418" s="179"/>
      <c r="AD418" s="132"/>
      <c r="AE418" s="179"/>
      <c r="AF418" s="179"/>
    </row>
    <row r="419" ht="12.75" customHeight="1" spans="1:32" x14ac:dyDescent="0.25">
      <c r="A419" s="179"/>
      <c r="B419" s="179"/>
      <c r="C419" s="179"/>
      <c r="D419" s="179"/>
      <c r="E419" s="179"/>
      <c r="F419" s="179"/>
      <c r="G419" s="179"/>
      <c r="H419" s="179"/>
      <c r="I419" s="181"/>
      <c r="J419" s="179"/>
      <c r="K419" s="179"/>
      <c r="L419" s="182"/>
      <c r="M419" s="182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32"/>
      <c r="Z419" s="179"/>
      <c r="AA419" s="179"/>
      <c r="AB419" s="179"/>
      <c r="AC419" s="179"/>
      <c r="AD419" s="132"/>
      <c r="AE419" s="179"/>
      <c r="AF419" s="179"/>
    </row>
    <row r="420" ht="12.75" customHeight="1" spans="1:32" x14ac:dyDescent="0.25">
      <c r="A420" s="179"/>
      <c r="B420" s="179"/>
      <c r="C420" s="179"/>
      <c r="D420" s="179"/>
      <c r="E420" s="179"/>
      <c r="F420" s="179"/>
      <c r="G420" s="179"/>
      <c r="H420" s="179"/>
      <c r="I420" s="181"/>
      <c r="J420" s="179"/>
      <c r="K420" s="179"/>
      <c r="L420" s="182"/>
      <c r="M420" s="182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32"/>
      <c r="Z420" s="179"/>
      <c r="AA420" s="179"/>
      <c r="AB420" s="179"/>
      <c r="AC420" s="179"/>
      <c r="AD420" s="132"/>
      <c r="AE420" s="179"/>
      <c r="AF420" s="179"/>
    </row>
    <row r="421" ht="12.75" customHeight="1" spans="1:32" x14ac:dyDescent="0.25">
      <c r="A421" s="179"/>
      <c r="B421" s="179"/>
      <c r="C421" s="179"/>
      <c r="D421" s="179"/>
      <c r="E421" s="179"/>
      <c r="F421" s="179"/>
      <c r="G421" s="179"/>
      <c r="H421" s="179"/>
      <c r="I421" s="181"/>
      <c r="J421" s="179"/>
      <c r="K421" s="179"/>
      <c r="L421" s="182"/>
      <c r="M421" s="182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32"/>
      <c r="Z421" s="179"/>
      <c r="AA421" s="179"/>
      <c r="AB421" s="179"/>
      <c r="AC421" s="179"/>
      <c r="AD421" s="132"/>
      <c r="AE421" s="179"/>
      <c r="AF421" s="179"/>
    </row>
    <row r="422" ht="12.75" customHeight="1" spans="1:32" x14ac:dyDescent="0.25">
      <c r="A422" s="179"/>
      <c r="B422" s="179"/>
      <c r="C422" s="179"/>
      <c r="D422" s="179"/>
      <c r="E422" s="179"/>
      <c r="F422" s="179"/>
      <c r="G422" s="179"/>
      <c r="H422" s="179"/>
      <c r="I422" s="181"/>
      <c r="J422" s="179"/>
      <c r="K422" s="179"/>
      <c r="L422" s="182"/>
      <c r="M422" s="182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32"/>
      <c r="Z422" s="179"/>
      <c r="AA422" s="179"/>
      <c r="AB422" s="179"/>
      <c r="AC422" s="179"/>
      <c r="AD422" s="132"/>
      <c r="AE422" s="179"/>
      <c r="AF422" s="179"/>
    </row>
    <row r="423" ht="12.75" customHeight="1" spans="1:32" x14ac:dyDescent="0.25">
      <c r="A423" s="179"/>
      <c r="B423" s="179"/>
      <c r="C423" s="179"/>
      <c r="D423" s="179"/>
      <c r="E423" s="179"/>
      <c r="F423" s="179"/>
      <c r="G423" s="179"/>
      <c r="H423" s="179"/>
      <c r="I423" s="181"/>
      <c r="J423" s="179"/>
      <c r="K423" s="179"/>
      <c r="L423" s="182"/>
      <c r="M423" s="182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32"/>
      <c r="Z423" s="179"/>
      <c r="AA423" s="179"/>
      <c r="AB423" s="179"/>
      <c r="AC423" s="179"/>
      <c r="AD423" s="132"/>
      <c r="AE423" s="179"/>
      <c r="AF423" s="179"/>
    </row>
    <row r="424" ht="12.75" customHeight="1" spans="1:32" x14ac:dyDescent="0.25">
      <c r="A424" s="179"/>
      <c r="B424" s="179"/>
      <c r="C424" s="179"/>
      <c r="D424" s="179"/>
      <c r="E424" s="179"/>
      <c r="F424" s="179"/>
      <c r="G424" s="179"/>
      <c r="H424" s="179"/>
      <c r="I424" s="181"/>
      <c r="J424" s="179"/>
      <c r="K424" s="179"/>
      <c r="L424" s="182"/>
      <c r="M424" s="182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32"/>
      <c r="Z424" s="179"/>
      <c r="AA424" s="179"/>
      <c r="AB424" s="179"/>
      <c r="AC424" s="179"/>
      <c r="AD424" s="132"/>
      <c r="AE424" s="179"/>
      <c r="AF424" s="179"/>
    </row>
    <row r="425" ht="12.75" customHeight="1" spans="1:32" x14ac:dyDescent="0.25">
      <c r="A425" s="179"/>
      <c r="B425" s="179"/>
      <c r="C425" s="179"/>
      <c r="D425" s="179"/>
      <c r="E425" s="179"/>
      <c r="F425" s="179"/>
      <c r="G425" s="179"/>
      <c r="H425" s="179"/>
      <c r="I425" s="181"/>
      <c r="J425" s="179"/>
      <c r="K425" s="179"/>
      <c r="L425" s="182"/>
      <c r="M425" s="182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32"/>
      <c r="Z425" s="179"/>
      <c r="AA425" s="179"/>
      <c r="AB425" s="179"/>
      <c r="AC425" s="179"/>
      <c r="AD425" s="132"/>
      <c r="AE425" s="179"/>
      <c r="AF425" s="179"/>
    </row>
    <row r="426" ht="12.75" customHeight="1" spans="1:32" x14ac:dyDescent="0.25">
      <c r="A426" s="179"/>
      <c r="B426" s="179"/>
      <c r="C426" s="179"/>
      <c r="D426" s="179"/>
      <c r="E426" s="179"/>
      <c r="F426" s="179"/>
      <c r="G426" s="179"/>
      <c r="H426" s="179"/>
      <c r="I426" s="181"/>
      <c r="J426" s="179"/>
      <c r="K426" s="179"/>
      <c r="L426" s="182"/>
      <c r="M426" s="182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32"/>
      <c r="Z426" s="179"/>
      <c r="AA426" s="179"/>
      <c r="AB426" s="179"/>
      <c r="AC426" s="179"/>
      <c r="AD426" s="132"/>
      <c r="AE426" s="179"/>
      <c r="AF426" s="179"/>
    </row>
    <row r="427" ht="12.75" customHeight="1" spans="1:32" x14ac:dyDescent="0.25">
      <c r="A427" s="179"/>
      <c r="B427" s="179"/>
      <c r="C427" s="179"/>
      <c r="D427" s="179"/>
      <c r="E427" s="179"/>
      <c r="F427" s="179"/>
      <c r="G427" s="179"/>
      <c r="H427" s="179"/>
      <c r="I427" s="181"/>
      <c r="J427" s="179"/>
      <c r="K427" s="179"/>
      <c r="L427" s="182"/>
      <c r="M427" s="182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32"/>
      <c r="Z427" s="179"/>
      <c r="AA427" s="179"/>
      <c r="AB427" s="179"/>
      <c r="AC427" s="179"/>
      <c r="AD427" s="132"/>
      <c r="AE427" s="179"/>
      <c r="AF427" s="179"/>
    </row>
    <row r="428" ht="12.75" customHeight="1" spans="1:32" x14ac:dyDescent="0.25">
      <c r="A428" s="179"/>
      <c r="B428" s="179"/>
      <c r="C428" s="179"/>
      <c r="D428" s="179"/>
      <c r="E428" s="179"/>
      <c r="F428" s="179"/>
      <c r="G428" s="179"/>
      <c r="H428" s="179"/>
      <c r="I428" s="181"/>
      <c r="J428" s="179"/>
      <c r="K428" s="179"/>
      <c r="L428" s="182"/>
      <c r="M428" s="182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32"/>
      <c r="Z428" s="179"/>
      <c r="AA428" s="179"/>
      <c r="AB428" s="179"/>
      <c r="AC428" s="179"/>
      <c r="AD428" s="132"/>
      <c r="AE428" s="179"/>
      <c r="AF428" s="179"/>
    </row>
    <row r="429" ht="12.75" customHeight="1" spans="1:32" x14ac:dyDescent="0.25">
      <c r="A429" s="179"/>
      <c r="B429" s="179"/>
      <c r="C429" s="179"/>
      <c r="D429" s="179"/>
      <c r="E429" s="179"/>
      <c r="F429" s="179"/>
      <c r="G429" s="179"/>
      <c r="H429" s="179"/>
      <c r="I429" s="181"/>
      <c r="J429" s="179"/>
      <c r="K429" s="179"/>
      <c r="L429" s="182"/>
      <c r="M429" s="182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32"/>
      <c r="Z429" s="179"/>
      <c r="AA429" s="179"/>
      <c r="AB429" s="179"/>
      <c r="AC429" s="179"/>
      <c r="AD429" s="132"/>
      <c r="AE429" s="179"/>
      <c r="AF429" s="179"/>
    </row>
    <row r="430" ht="12.75" customHeight="1" spans="1:32" x14ac:dyDescent="0.25">
      <c r="A430" s="179"/>
      <c r="B430" s="179"/>
      <c r="C430" s="179"/>
      <c r="D430" s="179"/>
      <c r="E430" s="179"/>
      <c r="F430" s="179"/>
      <c r="G430" s="179"/>
      <c r="H430" s="179"/>
      <c r="I430" s="181"/>
      <c r="J430" s="179"/>
      <c r="K430" s="179"/>
      <c r="L430" s="182"/>
      <c r="M430" s="182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32"/>
      <c r="Z430" s="179"/>
      <c r="AA430" s="179"/>
      <c r="AB430" s="179"/>
      <c r="AC430" s="179"/>
      <c r="AD430" s="132"/>
      <c r="AE430" s="179"/>
      <c r="AF430" s="179"/>
    </row>
    <row r="431" ht="12.75" customHeight="1" spans="1:32" x14ac:dyDescent="0.25">
      <c r="A431" s="179"/>
      <c r="B431" s="179"/>
      <c r="C431" s="179"/>
      <c r="D431" s="179"/>
      <c r="E431" s="179"/>
      <c r="F431" s="179"/>
      <c r="G431" s="179"/>
      <c r="H431" s="179"/>
      <c r="I431" s="181"/>
      <c r="J431" s="179"/>
      <c r="K431" s="179"/>
      <c r="L431" s="182"/>
      <c r="M431" s="182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32"/>
      <c r="Z431" s="179"/>
      <c r="AA431" s="179"/>
      <c r="AB431" s="179"/>
      <c r="AC431" s="179"/>
      <c r="AD431" s="132"/>
      <c r="AE431" s="179"/>
      <c r="AF431" s="179"/>
    </row>
    <row r="432" ht="12.75" customHeight="1" spans="1:32" x14ac:dyDescent="0.25">
      <c r="A432" s="179"/>
      <c r="B432" s="179"/>
      <c r="C432" s="179"/>
      <c r="D432" s="179"/>
      <c r="E432" s="179"/>
      <c r="F432" s="179"/>
      <c r="G432" s="179"/>
      <c r="H432" s="179"/>
      <c r="I432" s="181"/>
      <c r="J432" s="179"/>
      <c r="K432" s="179"/>
      <c r="L432" s="182"/>
      <c r="M432" s="182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32"/>
      <c r="Z432" s="179"/>
      <c r="AA432" s="179"/>
      <c r="AB432" s="179"/>
      <c r="AC432" s="179"/>
      <c r="AD432" s="132"/>
      <c r="AE432" s="179"/>
      <c r="AF432" s="179"/>
    </row>
    <row r="433" ht="12.75" customHeight="1" spans="1:32" x14ac:dyDescent="0.25">
      <c r="A433" s="179"/>
      <c r="B433" s="179"/>
      <c r="C433" s="179"/>
      <c r="D433" s="179"/>
      <c r="E433" s="179"/>
      <c r="F433" s="179"/>
      <c r="G433" s="179"/>
      <c r="H433" s="179"/>
      <c r="I433" s="181"/>
      <c r="J433" s="179"/>
      <c r="K433" s="179"/>
      <c r="L433" s="182"/>
      <c r="M433" s="182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32"/>
      <c r="Z433" s="179"/>
      <c r="AA433" s="179"/>
      <c r="AB433" s="179"/>
      <c r="AC433" s="179"/>
      <c r="AD433" s="132"/>
      <c r="AE433" s="179"/>
      <c r="AF433" s="179"/>
    </row>
    <row r="434" ht="12.75" customHeight="1" spans="1:32" x14ac:dyDescent="0.25">
      <c r="A434" s="179"/>
      <c r="B434" s="179"/>
      <c r="C434" s="179"/>
      <c r="D434" s="179"/>
      <c r="E434" s="179"/>
      <c r="F434" s="179"/>
      <c r="G434" s="179"/>
      <c r="H434" s="179"/>
      <c r="I434" s="181"/>
      <c r="J434" s="179"/>
      <c r="K434" s="179"/>
      <c r="L434" s="182"/>
      <c r="M434" s="182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32"/>
      <c r="Z434" s="179"/>
      <c r="AA434" s="179"/>
      <c r="AB434" s="179"/>
      <c r="AC434" s="179"/>
      <c r="AD434" s="132"/>
      <c r="AE434" s="179"/>
      <c r="AF434" s="179"/>
    </row>
    <row r="435" ht="12.75" customHeight="1" spans="1:32" x14ac:dyDescent="0.25">
      <c r="A435" s="179"/>
      <c r="B435" s="179"/>
      <c r="C435" s="179"/>
      <c r="D435" s="179"/>
      <c r="E435" s="179"/>
      <c r="F435" s="179"/>
      <c r="G435" s="179"/>
      <c r="H435" s="179"/>
      <c r="I435" s="181"/>
      <c r="J435" s="179"/>
      <c r="K435" s="179"/>
      <c r="L435" s="182"/>
      <c r="M435" s="182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32"/>
      <c r="Z435" s="179"/>
      <c r="AA435" s="179"/>
      <c r="AB435" s="179"/>
      <c r="AC435" s="179"/>
      <c r="AD435" s="132"/>
      <c r="AE435" s="179"/>
      <c r="AF435" s="179"/>
    </row>
    <row r="436" ht="12.75" customHeight="1" spans="1:32" x14ac:dyDescent="0.25">
      <c r="A436" s="179"/>
      <c r="B436" s="179"/>
      <c r="C436" s="179"/>
      <c r="D436" s="179"/>
      <c r="E436" s="179"/>
      <c r="F436" s="179"/>
      <c r="G436" s="179"/>
      <c r="H436" s="179"/>
      <c r="I436" s="181"/>
      <c r="J436" s="179"/>
      <c r="K436" s="179"/>
      <c r="L436" s="182"/>
      <c r="M436" s="182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32"/>
      <c r="Z436" s="179"/>
      <c r="AA436" s="179"/>
      <c r="AB436" s="179"/>
      <c r="AC436" s="179"/>
      <c r="AD436" s="132"/>
      <c r="AE436" s="179"/>
      <c r="AF436" s="179"/>
    </row>
    <row r="437" ht="12.75" customHeight="1" spans="1:32" x14ac:dyDescent="0.25">
      <c r="A437" s="179"/>
      <c r="B437" s="179"/>
      <c r="C437" s="179"/>
      <c r="D437" s="179"/>
      <c r="E437" s="179"/>
      <c r="F437" s="179"/>
      <c r="G437" s="179"/>
      <c r="H437" s="179"/>
      <c r="I437" s="181"/>
      <c r="J437" s="179"/>
      <c r="K437" s="179"/>
      <c r="L437" s="182"/>
      <c r="M437" s="182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32"/>
      <c r="Z437" s="179"/>
      <c r="AA437" s="179"/>
      <c r="AB437" s="179"/>
      <c r="AC437" s="179"/>
      <c r="AD437" s="132"/>
      <c r="AE437" s="179"/>
      <c r="AF437" s="179"/>
    </row>
    <row r="438" ht="12.75" customHeight="1" spans="1:32" x14ac:dyDescent="0.25">
      <c r="A438" s="179"/>
      <c r="B438" s="179"/>
      <c r="C438" s="179"/>
      <c r="D438" s="179"/>
      <c r="E438" s="179"/>
      <c r="F438" s="179"/>
      <c r="G438" s="179"/>
      <c r="H438" s="179"/>
      <c r="I438" s="181"/>
      <c r="J438" s="179"/>
      <c r="K438" s="179"/>
      <c r="L438" s="182"/>
      <c r="M438" s="182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32"/>
      <c r="Z438" s="179"/>
      <c r="AA438" s="179"/>
      <c r="AB438" s="179"/>
      <c r="AC438" s="179"/>
      <c r="AD438" s="132"/>
      <c r="AE438" s="179"/>
      <c r="AF438" s="179"/>
    </row>
    <row r="439" ht="12.75" customHeight="1" spans="1:32" x14ac:dyDescent="0.25">
      <c r="A439" s="179"/>
      <c r="B439" s="179"/>
      <c r="C439" s="179"/>
      <c r="D439" s="179"/>
      <c r="E439" s="179"/>
      <c r="F439" s="179"/>
      <c r="G439" s="179"/>
      <c r="H439" s="179"/>
      <c r="I439" s="181"/>
      <c r="J439" s="179"/>
      <c r="K439" s="179"/>
      <c r="L439" s="182"/>
      <c r="M439" s="182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32"/>
      <c r="Z439" s="179"/>
      <c r="AA439" s="179"/>
      <c r="AB439" s="179"/>
      <c r="AC439" s="179"/>
      <c r="AD439" s="132"/>
      <c r="AE439" s="179"/>
      <c r="AF439" s="179"/>
    </row>
    <row r="440" ht="12.75" customHeight="1" spans="1:32" x14ac:dyDescent="0.25">
      <c r="A440" s="179"/>
      <c r="B440" s="179"/>
      <c r="C440" s="179"/>
      <c r="D440" s="179"/>
      <c r="E440" s="179"/>
      <c r="F440" s="179"/>
      <c r="G440" s="179"/>
      <c r="H440" s="179"/>
      <c r="I440" s="181"/>
      <c r="J440" s="179"/>
      <c r="K440" s="179"/>
      <c r="L440" s="182"/>
      <c r="M440" s="182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32"/>
      <c r="Z440" s="179"/>
      <c r="AA440" s="179"/>
      <c r="AB440" s="179"/>
      <c r="AC440" s="179"/>
      <c r="AD440" s="132"/>
      <c r="AE440" s="179"/>
      <c r="AF440" s="179"/>
    </row>
    <row r="441" ht="12.75" customHeight="1" spans="1:32" x14ac:dyDescent="0.25">
      <c r="A441" s="179"/>
      <c r="B441" s="179"/>
      <c r="C441" s="179"/>
      <c r="D441" s="179"/>
      <c r="E441" s="179"/>
      <c r="F441" s="179"/>
      <c r="G441" s="179"/>
      <c r="H441" s="179"/>
      <c r="I441" s="181"/>
      <c r="J441" s="179"/>
      <c r="K441" s="179"/>
      <c r="L441" s="182"/>
      <c r="M441" s="182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32"/>
      <c r="Z441" s="179"/>
      <c r="AA441" s="179"/>
      <c r="AB441" s="179"/>
      <c r="AC441" s="179"/>
      <c r="AD441" s="132"/>
      <c r="AE441" s="179"/>
      <c r="AF441" s="179"/>
    </row>
    <row r="442" ht="12.75" customHeight="1" spans="1:32" x14ac:dyDescent="0.25">
      <c r="A442" s="179"/>
      <c r="B442" s="179"/>
      <c r="C442" s="179"/>
      <c r="D442" s="179"/>
      <c r="E442" s="179"/>
      <c r="F442" s="179"/>
      <c r="G442" s="179"/>
      <c r="H442" s="179"/>
      <c r="I442" s="181"/>
      <c r="J442" s="179"/>
      <c r="K442" s="179"/>
      <c r="L442" s="182"/>
      <c r="M442" s="182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32"/>
      <c r="Z442" s="179"/>
      <c r="AA442" s="179"/>
      <c r="AB442" s="179"/>
      <c r="AC442" s="179"/>
      <c r="AD442" s="132"/>
      <c r="AE442" s="179"/>
      <c r="AF442" s="179"/>
    </row>
    <row r="443" ht="12.75" customHeight="1" spans="1:32" x14ac:dyDescent="0.25">
      <c r="A443" s="179"/>
      <c r="B443" s="179"/>
      <c r="C443" s="179"/>
      <c r="D443" s="179"/>
      <c r="E443" s="179"/>
      <c r="F443" s="179"/>
      <c r="G443" s="179"/>
      <c r="H443" s="179"/>
      <c r="I443" s="181"/>
      <c r="J443" s="179"/>
      <c r="K443" s="179"/>
      <c r="L443" s="182"/>
      <c r="M443" s="182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32"/>
      <c r="Z443" s="179"/>
      <c r="AA443" s="179"/>
      <c r="AB443" s="179"/>
      <c r="AC443" s="179"/>
      <c r="AD443" s="132"/>
      <c r="AE443" s="179"/>
      <c r="AF443" s="179"/>
    </row>
    <row r="444" ht="12.75" customHeight="1" spans="1:32" x14ac:dyDescent="0.25">
      <c r="A444" s="179"/>
      <c r="B444" s="179"/>
      <c r="C444" s="179"/>
      <c r="D444" s="179"/>
      <c r="E444" s="179"/>
      <c r="F444" s="179"/>
      <c r="G444" s="179"/>
      <c r="H444" s="179"/>
      <c r="I444" s="181"/>
      <c r="J444" s="179"/>
      <c r="K444" s="179"/>
      <c r="L444" s="182"/>
      <c r="M444" s="182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32"/>
      <c r="Z444" s="179"/>
      <c r="AA444" s="179"/>
      <c r="AB444" s="179"/>
      <c r="AC444" s="179"/>
      <c r="AD444" s="132"/>
      <c r="AE444" s="179"/>
      <c r="AF444" s="179"/>
    </row>
    <row r="445" ht="12.75" customHeight="1" spans="1:32" x14ac:dyDescent="0.25">
      <c r="A445" s="179"/>
      <c r="B445" s="179"/>
      <c r="C445" s="179"/>
      <c r="D445" s="179"/>
      <c r="E445" s="179"/>
      <c r="F445" s="179"/>
      <c r="G445" s="179"/>
      <c r="H445" s="179"/>
      <c r="I445" s="181"/>
      <c r="J445" s="179"/>
      <c r="K445" s="179"/>
      <c r="L445" s="182"/>
      <c r="M445" s="182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32"/>
      <c r="Z445" s="179"/>
      <c r="AA445" s="179"/>
      <c r="AB445" s="179"/>
      <c r="AC445" s="179"/>
      <c r="AD445" s="132"/>
      <c r="AE445" s="179"/>
      <c r="AF445" s="179"/>
    </row>
    <row r="446" ht="12.75" customHeight="1" spans="1:32" x14ac:dyDescent="0.25">
      <c r="A446" s="179"/>
      <c r="B446" s="179"/>
      <c r="C446" s="179"/>
      <c r="D446" s="179"/>
      <c r="E446" s="179"/>
      <c r="F446" s="179"/>
      <c r="G446" s="179"/>
      <c r="H446" s="179"/>
      <c r="I446" s="181"/>
      <c r="J446" s="179"/>
      <c r="K446" s="179"/>
      <c r="L446" s="182"/>
      <c r="M446" s="182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32"/>
      <c r="Z446" s="179"/>
      <c r="AA446" s="179"/>
      <c r="AB446" s="179"/>
      <c r="AC446" s="179"/>
      <c r="AD446" s="132"/>
      <c r="AE446" s="179"/>
      <c r="AF446" s="179"/>
    </row>
    <row r="447" ht="12.75" customHeight="1" spans="1:32" x14ac:dyDescent="0.25">
      <c r="A447" s="179"/>
      <c r="B447" s="179"/>
      <c r="C447" s="179"/>
      <c r="D447" s="179"/>
      <c r="E447" s="179"/>
      <c r="F447" s="179"/>
      <c r="G447" s="179"/>
      <c r="H447" s="179"/>
      <c r="I447" s="181"/>
      <c r="J447" s="179"/>
      <c r="K447" s="179"/>
      <c r="L447" s="182"/>
      <c r="M447" s="182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32"/>
      <c r="Z447" s="179"/>
      <c r="AA447" s="179"/>
      <c r="AB447" s="179"/>
      <c r="AC447" s="179"/>
      <c r="AD447" s="132"/>
      <c r="AE447" s="179"/>
      <c r="AF447" s="179"/>
    </row>
    <row r="448" ht="12.75" customHeight="1" spans="1:32" x14ac:dyDescent="0.25">
      <c r="A448" s="179"/>
      <c r="B448" s="179"/>
      <c r="C448" s="179"/>
      <c r="D448" s="179"/>
      <c r="E448" s="179"/>
      <c r="F448" s="179"/>
      <c r="G448" s="179"/>
      <c r="H448" s="179"/>
      <c r="I448" s="181"/>
      <c r="J448" s="179"/>
      <c r="K448" s="179"/>
      <c r="L448" s="182"/>
      <c r="M448" s="182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32"/>
      <c r="Z448" s="179"/>
      <c r="AA448" s="179"/>
      <c r="AB448" s="179"/>
      <c r="AC448" s="179"/>
      <c r="AD448" s="132"/>
      <c r="AE448" s="179"/>
      <c r="AF448" s="179"/>
    </row>
    <row r="449" ht="12.75" customHeight="1" spans="1:32" x14ac:dyDescent="0.25">
      <c r="A449" s="179"/>
      <c r="B449" s="179"/>
      <c r="C449" s="179"/>
      <c r="D449" s="179"/>
      <c r="E449" s="179"/>
      <c r="F449" s="179"/>
      <c r="G449" s="179"/>
      <c r="H449" s="179"/>
      <c r="I449" s="181"/>
      <c r="J449" s="179"/>
      <c r="K449" s="179"/>
      <c r="L449" s="182"/>
      <c r="M449" s="182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32"/>
      <c r="Z449" s="179"/>
      <c r="AA449" s="179"/>
      <c r="AB449" s="179"/>
      <c r="AC449" s="179"/>
      <c r="AD449" s="132"/>
      <c r="AE449" s="179"/>
      <c r="AF449" s="179"/>
    </row>
    <row r="450" ht="12.75" customHeight="1" spans="1:32" x14ac:dyDescent="0.25">
      <c r="A450" s="179"/>
      <c r="B450" s="179"/>
      <c r="C450" s="179"/>
      <c r="D450" s="179"/>
      <c r="E450" s="179"/>
      <c r="F450" s="179"/>
      <c r="G450" s="179"/>
      <c r="H450" s="179"/>
      <c r="I450" s="181"/>
      <c r="J450" s="179"/>
      <c r="K450" s="179"/>
      <c r="L450" s="182"/>
      <c r="M450" s="182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32"/>
      <c r="Z450" s="179"/>
      <c r="AA450" s="179"/>
      <c r="AB450" s="179"/>
      <c r="AC450" s="179"/>
      <c r="AD450" s="132"/>
      <c r="AE450" s="179"/>
      <c r="AF450" s="179"/>
    </row>
    <row r="451" ht="12.75" customHeight="1" spans="1:32" x14ac:dyDescent="0.25">
      <c r="A451" s="179"/>
      <c r="B451" s="179"/>
      <c r="C451" s="179"/>
      <c r="D451" s="179"/>
      <c r="E451" s="179"/>
      <c r="F451" s="179"/>
      <c r="G451" s="179"/>
      <c r="H451" s="179"/>
      <c r="I451" s="181"/>
      <c r="J451" s="179"/>
      <c r="K451" s="179"/>
      <c r="L451" s="182"/>
      <c r="M451" s="182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32"/>
      <c r="Z451" s="179"/>
      <c r="AA451" s="179"/>
      <c r="AB451" s="179"/>
      <c r="AC451" s="179"/>
      <c r="AD451" s="132"/>
      <c r="AE451" s="179"/>
      <c r="AF451" s="179"/>
    </row>
    <row r="452" ht="12.75" customHeight="1" spans="1:32" x14ac:dyDescent="0.25">
      <c r="A452" s="179"/>
      <c r="B452" s="179"/>
      <c r="C452" s="179"/>
      <c r="D452" s="179"/>
      <c r="E452" s="179"/>
      <c r="F452" s="179"/>
      <c r="G452" s="179"/>
      <c r="H452" s="179"/>
      <c r="I452" s="181"/>
      <c r="J452" s="179"/>
      <c r="K452" s="179"/>
      <c r="L452" s="182"/>
      <c r="M452" s="182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32"/>
      <c r="Z452" s="179"/>
      <c r="AA452" s="179"/>
      <c r="AB452" s="179"/>
      <c r="AC452" s="179"/>
      <c r="AD452" s="132"/>
      <c r="AE452" s="179"/>
      <c r="AF452" s="179"/>
    </row>
    <row r="453" ht="12.75" customHeight="1" spans="1:32" x14ac:dyDescent="0.25">
      <c r="A453" s="179"/>
      <c r="B453" s="179"/>
      <c r="C453" s="179"/>
      <c r="D453" s="179"/>
      <c r="E453" s="179"/>
      <c r="F453" s="179"/>
      <c r="G453" s="179"/>
      <c r="H453" s="179"/>
      <c r="I453" s="181"/>
      <c r="J453" s="179"/>
      <c r="K453" s="179"/>
      <c r="L453" s="182"/>
      <c r="M453" s="182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32"/>
      <c r="Z453" s="179"/>
      <c r="AA453" s="179"/>
      <c r="AB453" s="179"/>
      <c r="AC453" s="179"/>
      <c r="AD453" s="132"/>
      <c r="AE453" s="179"/>
      <c r="AF453" s="179"/>
    </row>
    <row r="454" ht="12.75" customHeight="1" spans="1:32" x14ac:dyDescent="0.25">
      <c r="A454" s="179"/>
      <c r="B454" s="179"/>
      <c r="C454" s="179"/>
      <c r="D454" s="179"/>
      <c r="E454" s="179"/>
      <c r="F454" s="179"/>
      <c r="G454" s="179"/>
      <c r="H454" s="179"/>
      <c r="I454" s="181"/>
      <c r="J454" s="179"/>
      <c r="K454" s="179"/>
      <c r="L454" s="182"/>
      <c r="M454" s="182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32"/>
      <c r="Z454" s="179"/>
      <c r="AA454" s="179"/>
      <c r="AB454" s="179"/>
      <c r="AC454" s="179"/>
      <c r="AD454" s="132"/>
      <c r="AE454" s="179"/>
      <c r="AF454" s="179"/>
    </row>
    <row r="455" ht="12.75" customHeight="1" spans="1:32" x14ac:dyDescent="0.25">
      <c r="A455" s="179"/>
      <c r="B455" s="179"/>
      <c r="C455" s="179"/>
      <c r="D455" s="179"/>
      <c r="E455" s="179"/>
      <c r="F455" s="179"/>
      <c r="G455" s="179"/>
      <c r="H455" s="179"/>
      <c r="I455" s="181"/>
      <c r="J455" s="179"/>
      <c r="K455" s="179"/>
      <c r="L455" s="182"/>
      <c r="M455" s="182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32"/>
      <c r="Z455" s="179"/>
      <c r="AA455" s="179"/>
      <c r="AB455" s="179"/>
      <c r="AC455" s="179"/>
      <c r="AD455" s="132"/>
      <c r="AE455" s="179"/>
      <c r="AF455" s="179"/>
    </row>
    <row r="456" ht="12.75" customHeight="1" spans="1:32" x14ac:dyDescent="0.25">
      <c r="A456" s="179"/>
      <c r="B456" s="179"/>
      <c r="C456" s="179"/>
      <c r="D456" s="179"/>
      <c r="E456" s="179"/>
      <c r="F456" s="179"/>
      <c r="G456" s="179"/>
      <c r="H456" s="179"/>
      <c r="I456" s="181"/>
      <c r="J456" s="179"/>
      <c r="K456" s="179"/>
      <c r="L456" s="182"/>
      <c r="M456" s="182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32"/>
      <c r="Z456" s="179"/>
      <c r="AA456" s="179"/>
      <c r="AB456" s="179"/>
      <c r="AC456" s="179"/>
      <c r="AD456" s="132"/>
      <c r="AE456" s="179"/>
      <c r="AF456" s="179"/>
    </row>
    <row r="457" ht="12.75" customHeight="1" spans="1:32" x14ac:dyDescent="0.25">
      <c r="A457" s="179"/>
      <c r="B457" s="179"/>
      <c r="C457" s="179"/>
      <c r="D457" s="179"/>
      <c r="E457" s="179"/>
      <c r="F457" s="179"/>
      <c r="G457" s="179"/>
      <c r="H457" s="179"/>
      <c r="I457" s="181"/>
      <c r="J457" s="179"/>
      <c r="K457" s="179"/>
      <c r="L457" s="182"/>
      <c r="M457" s="182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32"/>
      <c r="Z457" s="179"/>
      <c r="AA457" s="179"/>
      <c r="AB457" s="179"/>
      <c r="AC457" s="179"/>
      <c r="AD457" s="132"/>
      <c r="AE457" s="179"/>
      <c r="AF457" s="179"/>
    </row>
    <row r="458" ht="12.75" customHeight="1" spans="1:32" x14ac:dyDescent="0.25">
      <c r="A458" s="179"/>
      <c r="B458" s="179"/>
      <c r="C458" s="179"/>
      <c r="D458" s="179"/>
      <c r="E458" s="179"/>
      <c r="F458" s="179"/>
      <c r="G458" s="179"/>
      <c r="H458" s="179"/>
      <c r="I458" s="181"/>
      <c r="J458" s="179"/>
      <c r="K458" s="179"/>
      <c r="L458" s="182"/>
      <c r="M458" s="182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32"/>
      <c r="Z458" s="179"/>
      <c r="AA458" s="179"/>
      <c r="AB458" s="179"/>
      <c r="AC458" s="179"/>
      <c r="AD458" s="132"/>
      <c r="AE458" s="179"/>
      <c r="AF458" s="179"/>
    </row>
    <row r="459" ht="12.75" customHeight="1" spans="1:32" x14ac:dyDescent="0.25">
      <c r="A459" s="179"/>
      <c r="B459" s="179"/>
      <c r="C459" s="179"/>
      <c r="D459" s="179"/>
      <c r="E459" s="179"/>
      <c r="F459" s="179"/>
      <c r="G459" s="179"/>
      <c r="H459" s="179"/>
      <c r="I459" s="181"/>
      <c r="J459" s="179"/>
      <c r="K459" s="179"/>
      <c r="L459" s="182"/>
      <c r="M459" s="182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32"/>
      <c r="Z459" s="179"/>
      <c r="AA459" s="179"/>
      <c r="AB459" s="179"/>
      <c r="AC459" s="179"/>
      <c r="AD459" s="132"/>
      <c r="AE459" s="179"/>
      <c r="AF459" s="179"/>
    </row>
    <row r="460" ht="12.75" customHeight="1" spans="1:32" x14ac:dyDescent="0.25">
      <c r="A460" s="179"/>
      <c r="B460" s="179"/>
      <c r="C460" s="179"/>
      <c r="D460" s="179"/>
      <c r="E460" s="179"/>
      <c r="F460" s="179"/>
      <c r="G460" s="179"/>
      <c r="H460" s="179"/>
      <c r="I460" s="181"/>
      <c r="J460" s="179"/>
      <c r="K460" s="179"/>
      <c r="L460" s="182"/>
      <c r="M460" s="182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32"/>
      <c r="Z460" s="179"/>
      <c r="AA460" s="179"/>
      <c r="AB460" s="179"/>
      <c r="AC460" s="179"/>
      <c r="AD460" s="132"/>
      <c r="AE460" s="179"/>
      <c r="AF460" s="179"/>
    </row>
    <row r="461" ht="12.75" customHeight="1" spans="1:32" x14ac:dyDescent="0.25">
      <c r="A461" s="179"/>
      <c r="B461" s="179"/>
      <c r="C461" s="179"/>
      <c r="D461" s="179"/>
      <c r="E461" s="179"/>
      <c r="F461" s="179"/>
      <c r="G461" s="179"/>
      <c r="H461" s="179"/>
      <c r="I461" s="181"/>
      <c r="J461" s="179"/>
      <c r="K461" s="179"/>
      <c r="L461" s="182"/>
      <c r="M461" s="182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32"/>
      <c r="Z461" s="179"/>
      <c r="AA461" s="179"/>
      <c r="AB461" s="179"/>
      <c r="AC461" s="179"/>
      <c r="AD461" s="132"/>
      <c r="AE461" s="179"/>
      <c r="AF461" s="179"/>
    </row>
    <row r="462" ht="12.75" customHeight="1" spans="1:32" x14ac:dyDescent="0.25">
      <c r="A462" s="179"/>
      <c r="B462" s="179"/>
      <c r="C462" s="179"/>
      <c r="D462" s="179"/>
      <c r="E462" s="179"/>
      <c r="F462" s="179"/>
      <c r="G462" s="179"/>
      <c r="H462" s="179"/>
      <c r="I462" s="181"/>
      <c r="J462" s="179"/>
      <c r="K462" s="179"/>
      <c r="L462" s="182"/>
      <c r="M462" s="182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32"/>
      <c r="Z462" s="179"/>
      <c r="AA462" s="179"/>
      <c r="AB462" s="179"/>
      <c r="AC462" s="179"/>
      <c r="AD462" s="132"/>
      <c r="AE462" s="179"/>
      <c r="AF462" s="179"/>
    </row>
    <row r="463" ht="12.75" customHeight="1" spans="1:32" x14ac:dyDescent="0.25">
      <c r="A463" s="179"/>
      <c r="B463" s="179"/>
      <c r="C463" s="179"/>
      <c r="D463" s="179"/>
      <c r="E463" s="179"/>
      <c r="F463" s="179"/>
      <c r="G463" s="179"/>
      <c r="H463" s="179"/>
      <c r="I463" s="181"/>
      <c r="J463" s="179"/>
      <c r="K463" s="179"/>
      <c r="L463" s="182"/>
      <c r="M463" s="182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32"/>
      <c r="Z463" s="179"/>
      <c r="AA463" s="179"/>
      <c r="AB463" s="179"/>
      <c r="AC463" s="179"/>
      <c r="AD463" s="132"/>
      <c r="AE463" s="179"/>
      <c r="AF463" s="179"/>
    </row>
    <row r="464" ht="12.75" customHeight="1" spans="1:32" x14ac:dyDescent="0.25">
      <c r="A464" s="179"/>
      <c r="B464" s="179"/>
      <c r="C464" s="179"/>
      <c r="D464" s="179"/>
      <c r="E464" s="179"/>
      <c r="F464" s="179"/>
      <c r="G464" s="179"/>
      <c r="H464" s="179"/>
      <c r="I464" s="181"/>
      <c r="J464" s="179"/>
      <c r="K464" s="179"/>
      <c r="L464" s="182"/>
      <c r="M464" s="182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32"/>
      <c r="Z464" s="179"/>
      <c r="AA464" s="179"/>
      <c r="AB464" s="179"/>
      <c r="AC464" s="179"/>
      <c r="AD464" s="132"/>
      <c r="AE464" s="179"/>
      <c r="AF464" s="179"/>
    </row>
    <row r="465" ht="12.75" customHeight="1" spans="1:32" x14ac:dyDescent="0.25">
      <c r="A465" s="179"/>
      <c r="B465" s="179"/>
      <c r="C465" s="179"/>
      <c r="D465" s="179"/>
      <c r="E465" s="179"/>
      <c r="F465" s="179"/>
      <c r="G465" s="179"/>
      <c r="H465" s="179"/>
      <c r="I465" s="181"/>
      <c r="J465" s="179"/>
      <c r="K465" s="179"/>
      <c r="L465" s="182"/>
      <c r="M465" s="182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32"/>
      <c r="Z465" s="179"/>
      <c r="AA465" s="179"/>
      <c r="AB465" s="179"/>
      <c r="AC465" s="179"/>
      <c r="AD465" s="132"/>
      <c r="AE465" s="179"/>
      <c r="AF465" s="179"/>
    </row>
    <row r="466" ht="12.75" customHeight="1" spans="1:32" x14ac:dyDescent="0.25">
      <c r="A466" s="179"/>
      <c r="B466" s="179"/>
      <c r="C466" s="179"/>
      <c r="D466" s="179"/>
      <c r="E466" s="179"/>
      <c r="F466" s="179"/>
      <c r="G466" s="179"/>
      <c r="H466" s="179"/>
      <c r="I466" s="181"/>
      <c r="J466" s="179"/>
      <c r="K466" s="179"/>
      <c r="L466" s="182"/>
      <c r="M466" s="182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32"/>
      <c r="Z466" s="179"/>
      <c r="AA466" s="179"/>
      <c r="AB466" s="179"/>
      <c r="AC466" s="179"/>
      <c r="AD466" s="132"/>
      <c r="AE466" s="179"/>
      <c r="AF466" s="179"/>
    </row>
    <row r="467" ht="12.75" customHeight="1" spans="1:32" x14ac:dyDescent="0.25">
      <c r="A467" s="179"/>
      <c r="B467" s="179"/>
      <c r="C467" s="179"/>
      <c r="D467" s="179"/>
      <c r="E467" s="179"/>
      <c r="F467" s="179"/>
      <c r="G467" s="179"/>
      <c r="H467" s="179"/>
      <c r="I467" s="181"/>
      <c r="J467" s="179"/>
      <c r="K467" s="179"/>
      <c r="L467" s="182"/>
      <c r="M467" s="182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32"/>
      <c r="Z467" s="179"/>
      <c r="AA467" s="179"/>
      <c r="AB467" s="179"/>
      <c r="AC467" s="179"/>
      <c r="AD467" s="132"/>
      <c r="AE467" s="179"/>
      <c r="AF467" s="179"/>
    </row>
    <row r="468" ht="12.75" customHeight="1" spans="1:32" x14ac:dyDescent="0.25">
      <c r="A468" s="179"/>
      <c r="B468" s="179"/>
      <c r="C468" s="179"/>
      <c r="D468" s="179"/>
      <c r="E468" s="179"/>
      <c r="F468" s="179"/>
      <c r="G468" s="179"/>
      <c r="H468" s="179"/>
      <c r="I468" s="181"/>
      <c r="J468" s="179"/>
      <c r="K468" s="179"/>
      <c r="L468" s="182"/>
      <c r="M468" s="182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32"/>
      <c r="Z468" s="179"/>
      <c r="AA468" s="179"/>
      <c r="AB468" s="179"/>
      <c r="AC468" s="179"/>
      <c r="AD468" s="132"/>
      <c r="AE468" s="179"/>
      <c r="AF468" s="179"/>
    </row>
    <row r="469" ht="12.75" customHeight="1" spans="1:32" x14ac:dyDescent="0.25">
      <c r="A469" s="179"/>
      <c r="B469" s="179"/>
      <c r="C469" s="179"/>
      <c r="D469" s="179"/>
      <c r="E469" s="179"/>
      <c r="F469" s="179"/>
      <c r="G469" s="179"/>
      <c r="H469" s="179"/>
      <c r="I469" s="181"/>
      <c r="J469" s="179"/>
      <c r="K469" s="179"/>
      <c r="L469" s="182"/>
      <c r="M469" s="182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32"/>
      <c r="Z469" s="179"/>
      <c r="AA469" s="179"/>
      <c r="AB469" s="179"/>
      <c r="AC469" s="179"/>
      <c r="AD469" s="132"/>
      <c r="AE469" s="179"/>
      <c r="AF469" s="179"/>
    </row>
    <row r="470" ht="12.75" customHeight="1" spans="1:32" x14ac:dyDescent="0.25">
      <c r="A470" s="179"/>
      <c r="B470" s="179"/>
      <c r="C470" s="179"/>
      <c r="D470" s="179"/>
      <c r="E470" s="179"/>
      <c r="F470" s="179"/>
      <c r="G470" s="179"/>
      <c r="H470" s="179"/>
      <c r="I470" s="181"/>
      <c r="J470" s="179"/>
      <c r="K470" s="179"/>
      <c r="L470" s="182"/>
      <c r="M470" s="182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32"/>
      <c r="Z470" s="179"/>
      <c r="AA470" s="179"/>
      <c r="AB470" s="179"/>
      <c r="AC470" s="179"/>
      <c r="AD470" s="132"/>
      <c r="AE470" s="179"/>
      <c r="AF470" s="179"/>
    </row>
    <row r="471" ht="12.75" customHeight="1" spans="1:32" x14ac:dyDescent="0.25">
      <c r="A471" s="179"/>
      <c r="B471" s="179"/>
      <c r="C471" s="179"/>
      <c r="D471" s="179"/>
      <c r="E471" s="179"/>
      <c r="F471" s="179"/>
      <c r="G471" s="179"/>
      <c r="H471" s="179"/>
      <c r="I471" s="181"/>
      <c r="J471" s="179"/>
      <c r="K471" s="179"/>
      <c r="L471" s="182"/>
      <c r="M471" s="182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32"/>
      <c r="Z471" s="179"/>
      <c r="AA471" s="179"/>
      <c r="AB471" s="179"/>
      <c r="AC471" s="179"/>
      <c r="AD471" s="132"/>
      <c r="AE471" s="179"/>
      <c r="AF471" s="179"/>
    </row>
    <row r="472" ht="12.75" customHeight="1" spans="1:32" x14ac:dyDescent="0.25">
      <c r="A472" s="179"/>
      <c r="B472" s="179"/>
      <c r="C472" s="179"/>
      <c r="D472" s="179"/>
      <c r="E472" s="179"/>
      <c r="F472" s="179"/>
      <c r="G472" s="179"/>
      <c r="H472" s="179"/>
      <c r="I472" s="181"/>
      <c r="J472" s="179"/>
      <c r="K472" s="179"/>
      <c r="L472" s="182"/>
      <c r="M472" s="182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32"/>
      <c r="Z472" s="179"/>
      <c r="AA472" s="179"/>
      <c r="AB472" s="179"/>
      <c r="AC472" s="179"/>
      <c r="AD472" s="132"/>
      <c r="AE472" s="179"/>
      <c r="AF472" s="179"/>
    </row>
    <row r="473" ht="12.75" customHeight="1" spans="1:32" x14ac:dyDescent="0.25">
      <c r="A473" s="179"/>
      <c r="B473" s="179"/>
      <c r="C473" s="179"/>
      <c r="D473" s="179"/>
      <c r="E473" s="179"/>
      <c r="F473" s="179"/>
      <c r="G473" s="179"/>
      <c r="H473" s="179"/>
      <c r="I473" s="181"/>
      <c r="J473" s="179"/>
      <c r="K473" s="179"/>
      <c r="L473" s="182"/>
      <c r="M473" s="182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32"/>
      <c r="Z473" s="179"/>
      <c r="AA473" s="179"/>
      <c r="AB473" s="179"/>
      <c r="AC473" s="179"/>
      <c r="AD473" s="132"/>
      <c r="AE473" s="179"/>
      <c r="AF473" s="179"/>
    </row>
    <row r="474" ht="12.75" customHeight="1" spans="1:32" x14ac:dyDescent="0.25">
      <c r="A474" s="179"/>
      <c r="B474" s="179"/>
      <c r="C474" s="179"/>
      <c r="D474" s="179"/>
      <c r="E474" s="179"/>
      <c r="F474" s="179"/>
      <c r="G474" s="179"/>
      <c r="H474" s="179"/>
      <c r="I474" s="181"/>
      <c r="J474" s="179"/>
      <c r="K474" s="179"/>
      <c r="L474" s="182"/>
      <c r="M474" s="182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32"/>
      <c r="Z474" s="179"/>
      <c r="AA474" s="179"/>
      <c r="AB474" s="179"/>
      <c r="AC474" s="179"/>
      <c r="AD474" s="132"/>
      <c r="AE474" s="179"/>
      <c r="AF474" s="179"/>
    </row>
    <row r="475" ht="12.75" customHeight="1" spans="1:32" x14ac:dyDescent="0.25">
      <c r="A475" s="179"/>
      <c r="B475" s="179"/>
      <c r="C475" s="179"/>
      <c r="D475" s="179"/>
      <c r="E475" s="179"/>
      <c r="F475" s="179"/>
      <c r="G475" s="179"/>
      <c r="H475" s="179"/>
      <c r="I475" s="181"/>
      <c r="J475" s="179"/>
      <c r="K475" s="179"/>
      <c r="L475" s="182"/>
      <c r="M475" s="182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32"/>
      <c r="Z475" s="179"/>
      <c r="AA475" s="179"/>
      <c r="AB475" s="179"/>
      <c r="AC475" s="179"/>
      <c r="AD475" s="132"/>
      <c r="AE475" s="179"/>
      <c r="AF475" s="179"/>
    </row>
    <row r="476" ht="12.75" customHeight="1" spans="1:32" x14ac:dyDescent="0.25">
      <c r="A476" s="179"/>
      <c r="B476" s="179"/>
      <c r="C476" s="179"/>
      <c r="D476" s="179"/>
      <c r="E476" s="179"/>
      <c r="F476" s="179"/>
      <c r="G476" s="179"/>
      <c r="H476" s="179"/>
      <c r="I476" s="181"/>
      <c r="J476" s="179"/>
      <c r="K476" s="179"/>
      <c r="L476" s="182"/>
      <c r="M476" s="182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32"/>
      <c r="Z476" s="179"/>
      <c r="AA476" s="179"/>
      <c r="AB476" s="179"/>
      <c r="AC476" s="179"/>
      <c r="AD476" s="132"/>
      <c r="AE476" s="179"/>
      <c r="AF476" s="179"/>
    </row>
    <row r="477" ht="12.75" customHeight="1" spans="1:32" x14ac:dyDescent="0.25">
      <c r="A477" s="179"/>
      <c r="B477" s="179"/>
      <c r="C477" s="179"/>
      <c r="D477" s="179"/>
      <c r="E477" s="179"/>
      <c r="F477" s="179"/>
      <c r="G477" s="179"/>
      <c r="H477" s="179"/>
      <c r="I477" s="181"/>
      <c r="J477" s="179"/>
      <c r="K477" s="179"/>
      <c r="L477" s="182"/>
      <c r="M477" s="182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32"/>
      <c r="Z477" s="179"/>
      <c r="AA477" s="179"/>
      <c r="AB477" s="179"/>
      <c r="AC477" s="179"/>
      <c r="AD477" s="132"/>
      <c r="AE477" s="179"/>
      <c r="AF477" s="179"/>
    </row>
    <row r="478" ht="12.75" customHeight="1" spans="1:32" x14ac:dyDescent="0.25">
      <c r="A478" s="179"/>
      <c r="B478" s="179"/>
      <c r="C478" s="179"/>
      <c r="D478" s="179"/>
      <c r="E478" s="179"/>
      <c r="F478" s="179"/>
      <c r="G478" s="179"/>
      <c r="H478" s="179"/>
      <c r="I478" s="181"/>
      <c r="J478" s="179"/>
      <c r="K478" s="179"/>
      <c r="L478" s="182"/>
      <c r="M478" s="182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32"/>
      <c r="Z478" s="179"/>
      <c r="AA478" s="179"/>
      <c r="AB478" s="179"/>
      <c r="AC478" s="179"/>
      <c r="AD478" s="132"/>
      <c r="AE478" s="179"/>
      <c r="AF478" s="179"/>
    </row>
    <row r="479" ht="12.75" customHeight="1" spans="1:32" x14ac:dyDescent="0.25">
      <c r="A479" s="179"/>
      <c r="B479" s="179"/>
      <c r="C479" s="179"/>
      <c r="D479" s="179"/>
      <c r="E479" s="179"/>
      <c r="F479" s="179"/>
      <c r="G479" s="179"/>
      <c r="H479" s="179"/>
      <c r="I479" s="181"/>
      <c r="J479" s="179"/>
      <c r="K479" s="179"/>
      <c r="L479" s="182"/>
      <c r="M479" s="182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32"/>
      <c r="Z479" s="179"/>
      <c r="AA479" s="179"/>
      <c r="AB479" s="179"/>
      <c r="AC479" s="179"/>
      <c r="AD479" s="132"/>
      <c r="AE479" s="179"/>
      <c r="AF479" s="179"/>
    </row>
    <row r="480" ht="12.75" customHeight="1" spans="1:32" x14ac:dyDescent="0.25">
      <c r="A480" s="179"/>
      <c r="B480" s="179"/>
      <c r="C480" s="179"/>
      <c r="D480" s="179"/>
      <c r="E480" s="179"/>
      <c r="F480" s="179"/>
      <c r="G480" s="179"/>
      <c r="H480" s="179"/>
      <c r="I480" s="181"/>
      <c r="J480" s="179"/>
      <c r="K480" s="179"/>
      <c r="L480" s="182"/>
      <c r="M480" s="182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32"/>
      <c r="Z480" s="179"/>
      <c r="AA480" s="179"/>
      <c r="AB480" s="179"/>
      <c r="AC480" s="179"/>
      <c r="AD480" s="132"/>
      <c r="AE480" s="179"/>
      <c r="AF480" s="179"/>
    </row>
    <row r="481" ht="12.75" customHeight="1" spans="1:32" x14ac:dyDescent="0.25">
      <c r="A481" s="179"/>
      <c r="B481" s="179"/>
      <c r="C481" s="179"/>
      <c r="D481" s="179"/>
      <c r="E481" s="179"/>
      <c r="F481" s="179"/>
      <c r="G481" s="179"/>
      <c r="H481" s="179"/>
      <c r="I481" s="181"/>
      <c r="J481" s="179"/>
      <c r="K481" s="179"/>
      <c r="L481" s="182"/>
      <c r="M481" s="182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32"/>
      <c r="Z481" s="179"/>
      <c r="AA481" s="179"/>
      <c r="AB481" s="179"/>
      <c r="AC481" s="179"/>
      <c r="AD481" s="132"/>
      <c r="AE481" s="179"/>
      <c r="AF481" s="179"/>
    </row>
    <row r="482" ht="12.75" customHeight="1" spans="1:32" x14ac:dyDescent="0.25">
      <c r="A482" s="179"/>
      <c r="B482" s="179"/>
      <c r="C482" s="179"/>
      <c r="D482" s="179"/>
      <c r="E482" s="179"/>
      <c r="F482" s="179"/>
      <c r="G482" s="179"/>
      <c r="H482" s="179"/>
      <c r="I482" s="181"/>
      <c r="J482" s="179"/>
      <c r="K482" s="179"/>
      <c r="L482" s="182"/>
      <c r="M482" s="182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32"/>
      <c r="Z482" s="179"/>
      <c r="AA482" s="179"/>
      <c r="AB482" s="179"/>
      <c r="AC482" s="179"/>
      <c r="AD482" s="132"/>
      <c r="AE482" s="179"/>
      <c r="AF482" s="179"/>
    </row>
    <row r="483" ht="12.75" customHeight="1" spans="1:32" x14ac:dyDescent="0.25">
      <c r="A483" s="179"/>
      <c r="B483" s="179"/>
      <c r="C483" s="179"/>
      <c r="D483" s="179"/>
      <c r="E483" s="179"/>
      <c r="F483" s="179"/>
      <c r="G483" s="179"/>
      <c r="H483" s="179"/>
      <c r="I483" s="181"/>
      <c r="J483" s="179"/>
      <c r="K483" s="179"/>
      <c r="L483" s="182"/>
      <c r="M483" s="182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32"/>
      <c r="Z483" s="179"/>
      <c r="AA483" s="179"/>
      <c r="AB483" s="179"/>
      <c r="AC483" s="179"/>
      <c r="AD483" s="132"/>
      <c r="AE483" s="179"/>
      <c r="AF483" s="179"/>
    </row>
    <row r="484" ht="12.75" customHeight="1" spans="1:32" x14ac:dyDescent="0.25">
      <c r="A484" s="179"/>
      <c r="B484" s="179"/>
      <c r="C484" s="179"/>
      <c r="D484" s="179"/>
      <c r="E484" s="179"/>
      <c r="F484" s="179"/>
      <c r="G484" s="179"/>
      <c r="H484" s="179"/>
      <c r="I484" s="181"/>
      <c r="J484" s="179"/>
      <c r="K484" s="179"/>
      <c r="L484" s="182"/>
      <c r="M484" s="182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32"/>
      <c r="Z484" s="179"/>
      <c r="AA484" s="179"/>
      <c r="AB484" s="179"/>
      <c r="AC484" s="179"/>
      <c r="AD484" s="132"/>
      <c r="AE484" s="179"/>
      <c r="AF484" s="179"/>
    </row>
    <row r="485" ht="12.75" customHeight="1" spans="1:32" x14ac:dyDescent="0.25">
      <c r="A485" s="179"/>
      <c r="B485" s="179"/>
      <c r="C485" s="179"/>
      <c r="D485" s="179"/>
      <c r="E485" s="179"/>
      <c r="F485" s="179"/>
      <c r="G485" s="179"/>
      <c r="H485" s="179"/>
      <c r="I485" s="181"/>
      <c r="J485" s="179"/>
      <c r="K485" s="179"/>
      <c r="L485" s="182"/>
      <c r="M485" s="182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32"/>
      <c r="Z485" s="179"/>
      <c r="AA485" s="179"/>
      <c r="AB485" s="179"/>
      <c r="AC485" s="179"/>
      <c r="AD485" s="132"/>
      <c r="AE485" s="179"/>
      <c r="AF485" s="179"/>
    </row>
    <row r="486" ht="12.75" customHeight="1" spans="1:32" x14ac:dyDescent="0.25">
      <c r="A486" s="179"/>
      <c r="B486" s="179"/>
      <c r="C486" s="179"/>
      <c r="D486" s="179"/>
      <c r="E486" s="179"/>
      <c r="F486" s="179"/>
      <c r="G486" s="179"/>
      <c r="H486" s="179"/>
      <c r="I486" s="181"/>
      <c r="J486" s="179"/>
      <c r="K486" s="179"/>
      <c r="L486" s="182"/>
      <c r="M486" s="182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32"/>
      <c r="Z486" s="179"/>
      <c r="AA486" s="179"/>
      <c r="AB486" s="179"/>
      <c r="AC486" s="179"/>
      <c r="AD486" s="132"/>
      <c r="AE486" s="179"/>
      <c r="AF486" s="179"/>
    </row>
    <row r="487" ht="12.75" customHeight="1" spans="1:32" x14ac:dyDescent="0.25">
      <c r="A487" s="179"/>
      <c r="B487" s="179"/>
      <c r="C487" s="179"/>
      <c r="D487" s="179"/>
      <c r="E487" s="179"/>
      <c r="F487" s="179"/>
      <c r="G487" s="179"/>
      <c r="H487" s="179"/>
      <c r="I487" s="181"/>
      <c r="J487" s="179"/>
      <c r="K487" s="179"/>
      <c r="L487" s="182"/>
      <c r="M487" s="182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32"/>
      <c r="Z487" s="179"/>
      <c r="AA487" s="179"/>
      <c r="AB487" s="179"/>
      <c r="AC487" s="179"/>
      <c r="AD487" s="132"/>
      <c r="AE487" s="179"/>
      <c r="AF487" s="179"/>
    </row>
    <row r="488" ht="12.75" customHeight="1" spans="1:32" x14ac:dyDescent="0.25">
      <c r="A488" s="179"/>
      <c r="B488" s="179"/>
      <c r="C488" s="179"/>
      <c r="D488" s="179"/>
      <c r="E488" s="179"/>
      <c r="F488" s="179"/>
      <c r="G488" s="179"/>
      <c r="H488" s="179"/>
      <c r="I488" s="181"/>
      <c r="J488" s="179"/>
      <c r="K488" s="179"/>
      <c r="L488" s="182"/>
      <c r="M488" s="182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32"/>
      <c r="Z488" s="179"/>
      <c r="AA488" s="179"/>
      <c r="AB488" s="179"/>
      <c r="AC488" s="179"/>
      <c r="AD488" s="132"/>
      <c r="AE488" s="179"/>
      <c r="AF488" s="179"/>
    </row>
    <row r="489" ht="12.75" customHeight="1" spans="1:32" x14ac:dyDescent="0.25">
      <c r="A489" s="179"/>
      <c r="B489" s="179"/>
      <c r="C489" s="179"/>
      <c r="D489" s="179"/>
      <c r="E489" s="179"/>
      <c r="F489" s="179"/>
      <c r="G489" s="179"/>
      <c r="H489" s="179"/>
      <c r="I489" s="181"/>
      <c r="J489" s="179"/>
      <c r="K489" s="179"/>
      <c r="L489" s="182"/>
      <c r="M489" s="182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32"/>
      <c r="Z489" s="179"/>
      <c r="AA489" s="179"/>
      <c r="AB489" s="179"/>
      <c r="AC489" s="179"/>
      <c r="AD489" s="132"/>
      <c r="AE489" s="179"/>
      <c r="AF489" s="179"/>
    </row>
    <row r="490" ht="12.75" customHeight="1" spans="1:32" x14ac:dyDescent="0.25">
      <c r="A490" s="179"/>
      <c r="B490" s="179"/>
      <c r="C490" s="179"/>
      <c r="D490" s="179"/>
      <c r="E490" s="179"/>
      <c r="F490" s="179"/>
      <c r="G490" s="179"/>
      <c r="H490" s="179"/>
      <c r="I490" s="181"/>
      <c r="J490" s="179"/>
      <c r="K490" s="179"/>
      <c r="L490" s="182"/>
      <c r="M490" s="182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32"/>
      <c r="Z490" s="179"/>
      <c r="AA490" s="179"/>
      <c r="AB490" s="179"/>
      <c r="AC490" s="179"/>
      <c r="AD490" s="132"/>
      <c r="AE490" s="179"/>
      <c r="AF490" s="179"/>
    </row>
    <row r="491" ht="12.75" customHeight="1" spans="1:32" x14ac:dyDescent="0.25">
      <c r="A491" s="179"/>
      <c r="B491" s="179"/>
      <c r="C491" s="179"/>
      <c r="D491" s="179"/>
      <c r="E491" s="179"/>
      <c r="F491" s="179"/>
      <c r="G491" s="179"/>
      <c r="H491" s="179"/>
      <c r="I491" s="181"/>
      <c r="J491" s="179"/>
      <c r="K491" s="179"/>
      <c r="L491" s="182"/>
      <c r="M491" s="182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32"/>
      <c r="Z491" s="179"/>
      <c r="AA491" s="179"/>
      <c r="AB491" s="179"/>
      <c r="AC491" s="179"/>
      <c r="AD491" s="132"/>
      <c r="AE491" s="179"/>
      <c r="AF491" s="179"/>
    </row>
    <row r="492" ht="12.75" customHeight="1" spans="1:32" x14ac:dyDescent="0.25">
      <c r="A492" s="179"/>
      <c r="B492" s="179"/>
      <c r="C492" s="179"/>
      <c r="D492" s="179"/>
      <c r="E492" s="179"/>
      <c r="F492" s="179"/>
      <c r="G492" s="179"/>
      <c r="H492" s="179"/>
      <c r="I492" s="181"/>
      <c r="J492" s="179"/>
      <c r="K492" s="179"/>
      <c r="L492" s="182"/>
      <c r="M492" s="182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32"/>
      <c r="Z492" s="179"/>
      <c r="AA492" s="179"/>
      <c r="AB492" s="179"/>
      <c r="AC492" s="179"/>
      <c r="AD492" s="132"/>
      <c r="AE492" s="179"/>
      <c r="AF492" s="179"/>
    </row>
    <row r="493" ht="12.75" customHeight="1" spans="1:32" x14ac:dyDescent="0.25">
      <c r="A493" s="179"/>
      <c r="B493" s="179"/>
      <c r="C493" s="179"/>
      <c r="D493" s="179"/>
      <c r="E493" s="179"/>
      <c r="F493" s="179"/>
      <c r="G493" s="179"/>
      <c r="H493" s="179"/>
      <c r="I493" s="181"/>
      <c r="J493" s="179"/>
      <c r="K493" s="179"/>
      <c r="L493" s="182"/>
      <c r="M493" s="182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32"/>
      <c r="Z493" s="179"/>
      <c r="AA493" s="179"/>
      <c r="AB493" s="179"/>
      <c r="AC493" s="179"/>
      <c r="AD493" s="132"/>
      <c r="AE493" s="179"/>
      <c r="AF493" s="179"/>
    </row>
    <row r="494" ht="12.75" customHeight="1" spans="1:32" x14ac:dyDescent="0.25">
      <c r="A494" s="179"/>
      <c r="B494" s="179"/>
      <c r="C494" s="179"/>
      <c r="D494" s="179"/>
      <c r="E494" s="179"/>
      <c r="F494" s="179"/>
      <c r="G494" s="179"/>
      <c r="H494" s="179"/>
      <c r="I494" s="181"/>
      <c r="J494" s="179"/>
      <c r="K494" s="179"/>
      <c r="L494" s="182"/>
      <c r="M494" s="182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32"/>
      <c r="Z494" s="179"/>
      <c r="AA494" s="179"/>
      <c r="AB494" s="179"/>
      <c r="AC494" s="179"/>
      <c r="AD494" s="132"/>
      <c r="AE494" s="179"/>
      <c r="AF494" s="179"/>
    </row>
    <row r="495" ht="12.75" customHeight="1" spans="1:32" x14ac:dyDescent="0.25">
      <c r="A495" s="179"/>
      <c r="B495" s="179"/>
      <c r="C495" s="179"/>
      <c r="D495" s="179"/>
      <c r="E495" s="179"/>
      <c r="F495" s="179"/>
      <c r="G495" s="179"/>
      <c r="H495" s="179"/>
      <c r="I495" s="181"/>
      <c r="J495" s="179"/>
      <c r="K495" s="179"/>
      <c r="L495" s="182"/>
      <c r="M495" s="182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32"/>
      <c r="Z495" s="179"/>
      <c r="AA495" s="179"/>
      <c r="AB495" s="179"/>
      <c r="AC495" s="179"/>
      <c r="AD495" s="132"/>
      <c r="AE495" s="179"/>
      <c r="AF495" s="179"/>
    </row>
    <row r="496" ht="12.75" customHeight="1" spans="1:32" x14ac:dyDescent="0.25">
      <c r="A496" s="179"/>
      <c r="B496" s="179"/>
      <c r="C496" s="179"/>
      <c r="D496" s="179"/>
      <c r="E496" s="179"/>
      <c r="F496" s="179"/>
      <c r="G496" s="179"/>
      <c r="H496" s="179"/>
      <c r="I496" s="181"/>
      <c r="J496" s="179"/>
      <c r="K496" s="179"/>
      <c r="L496" s="182"/>
      <c r="M496" s="182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32"/>
      <c r="Z496" s="179"/>
      <c r="AA496" s="179"/>
      <c r="AB496" s="179"/>
      <c r="AC496" s="179"/>
      <c r="AD496" s="132"/>
      <c r="AE496" s="179"/>
      <c r="AF496" s="179"/>
    </row>
    <row r="497" ht="12.75" customHeight="1" spans="1:32" x14ac:dyDescent="0.25">
      <c r="A497" s="179"/>
      <c r="B497" s="179"/>
      <c r="C497" s="179"/>
      <c r="D497" s="179"/>
      <c r="E497" s="179"/>
      <c r="F497" s="179"/>
      <c r="G497" s="179"/>
      <c r="H497" s="179"/>
      <c r="I497" s="181"/>
      <c r="J497" s="179"/>
      <c r="K497" s="179"/>
      <c r="L497" s="182"/>
      <c r="M497" s="182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32"/>
      <c r="Z497" s="179"/>
      <c r="AA497" s="179"/>
      <c r="AB497" s="179"/>
      <c r="AC497" s="179"/>
      <c r="AD497" s="132"/>
      <c r="AE497" s="179"/>
      <c r="AF497" s="179"/>
    </row>
    <row r="498" ht="12.75" customHeight="1" spans="1:32" x14ac:dyDescent="0.25">
      <c r="A498" s="179"/>
      <c r="B498" s="179"/>
      <c r="C498" s="179"/>
      <c r="D498" s="179"/>
      <c r="E498" s="179"/>
      <c r="F498" s="179"/>
      <c r="G498" s="179"/>
      <c r="H498" s="179"/>
      <c r="I498" s="181"/>
      <c r="J498" s="179"/>
      <c r="K498" s="179"/>
      <c r="L498" s="182"/>
      <c r="M498" s="182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32"/>
      <c r="Z498" s="179"/>
      <c r="AA498" s="179"/>
      <c r="AB498" s="179"/>
      <c r="AC498" s="179"/>
      <c r="AD498" s="132"/>
      <c r="AE498" s="179"/>
      <c r="AF498" s="179"/>
    </row>
    <row r="499" ht="12.75" customHeight="1" spans="1:32" x14ac:dyDescent="0.25">
      <c r="A499" s="179"/>
      <c r="B499" s="179"/>
      <c r="C499" s="179"/>
      <c r="D499" s="179"/>
      <c r="E499" s="179"/>
      <c r="F499" s="179"/>
      <c r="G499" s="179"/>
      <c r="H499" s="179"/>
      <c r="I499" s="181"/>
      <c r="J499" s="179"/>
      <c r="K499" s="179"/>
      <c r="L499" s="182"/>
      <c r="M499" s="182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32"/>
      <c r="Z499" s="179"/>
      <c r="AA499" s="179"/>
      <c r="AB499" s="179"/>
      <c r="AC499" s="179"/>
      <c r="AD499" s="132"/>
      <c r="AE499" s="179"/>
      <c r="AF499" s="179"/>
    </row>
    <row r="500" ht="12.75" customHeight="1" spans="1:32" x14ac:dyDescent="0.25">
      <c r="A500" s="179"/>
      <c r="B500" s="179"/>
      <c r="C500" s="179"/>
      <c r="D500" s="179"/>
      <c r="E500" s="179"/>
      <c r="F500" s="179"/>
      <c r="G500" s="179"/>
      <c r="H500" s="179"/>
      <c r="I500" s="181"/>
      <c r="J500" s="179"/>
      <c r="K500" s="179"/>
      <c r="L500" s="182"/>
      <c r="M500" s="182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32"/>
      <c r="Z500" s="179"/>
      <c r="AA500" s="179"/>
      <c r="AB500" s="179"/>
      <c r="AC500" s="179"/>
      <c r="AD500" s="132"/>
      <c r="AE500" s="179"/>
      <c r="AF500" s="179"/>
    </row>
    <row r="501" ht="12.75" customHeight="1" spans="1:32" x14ac:dyDescent="0.25">
      <c r="A501" s="179"/>
      <c r="B501" s="179"/>
      <c r="C501" s="179"/>
      <c r="D501" s="179"/>
      <c r="E501" s="179"/>
      <c r="F501" s="179"/>
      <c r="G501" s="179"/>
      <c r="H501" s="179"/>
      <c r="I501" s="181"/>
      <c r="J501" s="179"/>
      <c r="K501" s="179"/>
      <c r="L501" s="182"/>
      <c r="M501" s="182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32"/>
      <c r="Z501" s="179"/>
      <c r="AA501" s="179"/>
      <c r="AB501" s="179"/>
      <c r="AC501" s="179"/>
      <c r="AD501" s="132"/>
      <c r="AE501" s="179"/>
      <c r="AF501" s="179"/>
    </row>
    <row r="502" ht="12.75" customHeight="1" spans="1:32" x14ac:dyDescent="0.25">
      <c r="A502" s="179"/>
      <c r="B502" s="179"/>
      <c r="C502" s="179"/>
      <c r="D502" s="179"/>
      <c r="E502" s="179"/>
      <c r="F502" s="179"/>
      <c r="G502" s="179"/>
      <c r="H502" s="179"/>
      <c r="I502" s="181"/>
      <c r="J502" s="179"/>
      <c r="K502" s="179"/>
      <c r="L502" s="182"/>
      <c r="M502" s="182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32"/>
      <c r="Z502" s="179"/>
      <c r="AA502" s="179"/>
      <c r="AB502" s="179"/>
      <c r="AC502" s="179"/>
      <c r="AD502" s="132"/>
      <c r="AE502" s="179"/>
      <c r="AF502" s="179"/>
    </row>
    <row r="503" ht="12.75" customHeight="1" spans="1:32" x14ac:dyDescent="0.25">
      <c r="A503" s="179"/>
      <c r="B503" s="179"/>
      <c r="C503" s="179"/>
      <c r="D503" s="179"/>
      <c r="E503" s="179"/>
      <c r="F503" s="179"/>
      <c r="G503" s="179"/>
      <c r="H503" s="179"/>
      <c r="I503" s="181"/>
      <c r="J503" s="179"/>
      <c r="K503" s="179"/>
      <c r="L503" s="182"/>
      <c r="M503" s="182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32"/>
      <c r="Z503" s="179"/>
      <c r="AA503" s="179"/>
      <c r="AB503" s="179"/>
      <c r="AC503" s="179"/>
      <c r="AD503" s="132"/>
      <c r="AE503" s="179"/>
      <c r="AF503" s="179"/>
    </row>
    <row r="504" ht="12.75" customHeight="1" spans="1:32" x14ac:dyDescent="0.25">
      <c r="A504" s="179"/>
      <c r="B504" s="179"/>
      <c r="C504" s="179"/>
      <c r="D504" s="179"/>
      <c r="E504" s="179"/>
      <c r="F504" s="179"/>
      <c r="G504" s="179"/>
      <c r="H504" s="179"/>
      <c r="I504" s="181"/>
      <c r="J504" s="179"/>
      <c r="K504" s="179"/>
      <c r="L504" s="182"/>
      <c r="M504" s="182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32"/>
      <c r="Z504" s="179"/>
      <c r="AA504" s="179"/>
      <c r="AB504" s="179"/>
      <c r="AC504" s="179"/>
      <c r="AD504" s="132"/>
      <c r="AE504" s="179"/>
      <c r="AF504" s="179"/>
    </row>
    <row r="505" ht="12.75" customHeight="1" spans="1:32" x14ac:dyDescent="0.25">
      <c r="A505" s="179"/>
      <c r="B505" s="179"/>
      <c r="C505" s="179"/>
      <c r="D505" s="179"/>
      <c r="E505" s="179"/>
      <c r="F505" s="179"/>
      <c r="G505" s="179"/>
      <c r="H505" s="179"/>
      <c r="I505" s="181"/>
      <c r="J505" s="179"/>
      <c r="K505" s="179"/>
      <c r="L505" s="182"/>
      <c r="M505" s="182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32"/>
      <c r="Z505" s="179"/>
      <c r="AA505" s="179"/>
      <c r="AB505" s="179"/>
      <c r="AC505" s="179"/>
      <c r="AD505" s="132"/>
      <c r="AE505" s="179"/>
      <c r="AF505" s="179"/>
    </row>
    <row r="506" ht="12.75" customHeight="1" spans="1:32" x14ac:dyDescent="0.25">
      <c r="A506" s="179"/>
      <c r="B506" s="179"/>
      <c r="C506" s="179"/>
      <c r="D506" s="179"/>
      <c r="E506" s="179"/>
      <c r="F506" s="179"/>
      <c r="G506" s="179"/>
      <c r="H506" s="179"/>
      <c r="I506" s="181"/>
      <c r="J506" s="179"/>
      <c r="K506" s="179"/>
      <c r="L506" s="182"/>
      <c r="M506" s="182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32"/>
      <c r="Z506" s="179"/>
      <c r="AA506" s="179"/>
      <c r="AB506" s="179"/>
      <c r="AC506" s="179"/>
      <c r="AD506" s="132"/>
      <c r="AE506" s="179"/>
      <c r="AF506" s="179"/>
    </row>
    <row r="507" ht="12.75" customHeight="1" spans="1:32" x14ac:dyDescent="0.25">
      <c r="A507" s="179"/>
      <c r="B507" s="179"/>
      <c r="C507" s="179"/>
      <c r="D507" s="179"/>
      <c r="E507" s="179"/>
      <c r="F507" s="179"/>
      <c r="G507" s="179"/>
      <c r="H507" s="179"/>
      <c r="I507" s="181"/>
      <c r="J507" s="179"/>
      <c r="K507" s="179"/>
      <c r="L507" s="182"/>
      <c r="M507" s="182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32"/>
      <c r="Z507" s="179"/>
      <c r="AA507" s="179"/>
      <c r="AB507" s="179"/>
      <c r="AC507" s="179"/>
      <c r="AD507" s="132"/>
      <c r="AE507" s="179"/>
      <c r="AF507" s="179"/>
    </row>
    <row r="508" ht="12.75" customHeight="1" spans="1:32" x14ac:dyDescent="0.25">
      <c r="A508" s="179"/>
      <c r="B508" s="179"/>
      <c r="C508" s="179"/>
      <c r="D508" s="179"/>
      <c r="E508" s="179"/>
      <c r="F508" s="179"/>
      <c r="G508" s="179"/>
      <c r="H508" s="179"/>
      <c r="I508" s="181"/>
      <c r="J508" s="179"/>
      <c r="K508" s="179"/>
      <c r="L508" s="182"/>
      <c r="M508" s="182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32"/>
      <c r="Z508" s="179"/>
      <c r="AA508" s="179"/>
      <c r="AB508" s="179"/>
      <c r="AC508" s="179"/>
      <c r="AD508" s="132"/>
      <c r="AE508" s="179"/>
      <c r="AF508" s="179"/>
    </row>
    <row r="509" ht="12.75" customHeight="1" spans="1:32" x14ac:dyDescent="0.25">
      <c r="A509" s="179"/>
      <c r="B509" s="179"/>
      <c r="C509" s="179"/>
      <c r="D509" s="179"/>
      <c r="E509" s="179"/>
      <c r="F509" s="179"/>
      <c r="G509" s="179"/>
      <c r="H509" s="179"/>
      <c r="I509" s="181"/>
      <c r="J509" s="179"/>
      <c r="K509" s="179"/>
      <c r="L509" s="182"/>
      <c r="M509" s="182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32"/>
      <c r="Z509" s="179"/>
      <c r="AA509" s="179"/>
      <c r="AB509" s="179"/>
      <c r="AC509" s="179"/>
      <c r="AD509" s="132"/>
      <c r="AE509" s="179"/>
      <c r="AF509" s="179"/>
    </row>
    <row r="510" ht="12.75" customHeight="1" spans="1:32" x14ac:dyDescent="0.25">
      <c r="A510" s="179"/>
      <c r="B510" s="179"/>
      <c r="C510" s="179"/>
      <c r="D510" s="179"/>
      <c r="E510" s="179"/>
      <c r="F510" s="179"/>
      <c r="G510" s="179"/>
      <c r="H510" s="179"/>
      <c r="I510" s="181"/>
      <c r="J510" s="179"/>
      <c r="K510" s="179"/>
      <c r="L510" s="182"/>
      <c r="M510" s="182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32"/>
      <c r="Z510" s="179"/>
      <c r="AA510" s="179"/>
      <c r="AB510" s="179"/>
      <c r="AC510" s="179"/>
      <c r="AD510" s="132"/>
      <c r="AE510" s="179"/>
      <c r="AF510" s="179"/>
    </row>
    <row r="511" ht="12.75" customHeight="1" spans="1:32" x14ac:dyDescent="0.25">
      <c r="A511" s="179"/>
      <c r="B511" s="179"/>
      <c r="C511" s="179"/>
      <c r="D511" s="179"/>
      <c r="E511" s="179"/>
      <c r="F511" s="179"/>
      <c r="G511" s="179"/>
      <c r="H511" s="179"/>
      <c r="I511" s="181"/>
      <c r="J511" s="179"/>
      <c r="K511" s="179"/>
      <c r="L511" s="182"/>
      <c r="M511" s="182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32"/>
      <c r="Z511" s="179"/>
      <c r="AA511" s="179"/>
      <c r="AB511" s="179"/>
      <c r="AC511" s="179"/>
      <c r="AD511" s="132"/>
      <c r="AE511" s="179"/>
      <c r="AF511" s="179"/>
    </row>
    <row r="512" ht="12.75" customHeight="1" spans="1:32" x14ac:dyDescent="0.25">
      <c r="A512" s="179"/>
      <c r="B512" s="179"/>
      <c r="C512" s="179"/>
      <c r="D512" s="179"/>
      <c r="E512" s="179"/>
      <c r="F512" s="179"/>
      <c r="G512" s="179"/>
      <c r="H512" s="179"/>
      <c r="I512" s="181"/>
      <c r="J512" s="179"/>
      <c r="K512" s="179"/>
      <c r="L512" s="182"/>
      <c r="M512" s="182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32"/>
      <c r="Z512" s="179"/>
      <c r="AA512" s="179"/>
      <c r="AB512" s="179"/>
      <c r="AC512" s="179"/>
      <c r="AD512" s="132"/>
      <c r="AE512" s="179"/>
      <c r="AF512" s="179"/>
    </row>
    <row r="513" ht="12.75" customHeight="1" spans="1:32" x14ac:dyDescent="0.25">
      <c r="A513" s="179"/>
      <c r="B513" s="179"/>
      <c r="C513" s="179"/>
      <c r="D513" s="179"/>
      <c r="E513" s="179"/>
      <c r="F513" s="179"/>
      <c r="G513" s="179"/>
      <c r="H513" s="179"/>
      <c r="I513" s="181"/>
      <c r="J513" s="179"/>
      <c r="K513" s="179"/>
      <c r="L513" s="182"/>
      <c r="M513" s="182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32"/>
      <c r="Z513" s="179"/>
      <c r="AA513" s="179"/>
      <c r="AB513" s="179"/>
      <c r="AC513" s="179"/>
      <c r="AD513" s="132"/>
      <c r="AE513" s="179"/>
      <c r="AF513" s="179"/>
    </row>
    <row r="514" ht="12.75" customHeight="1" spans="1:32" x14ac:dyDescent="0.25">
      <c r="A514" s="179"/>
      <c r="B514" s="179"/>
      <c r="C514" s="179"/>
      <c r="D514" s="179"/>
      <c r="E514" s="179"/>
      <c r="F514" s="179"/>
      <c r="G514" s="179"/>
      <c r="H514" s="179"/>
      <c r="I514" s="181"/>
      <c r="J514" s="179"/>
      <c r="K514" s="179"/>
      <c r="L514" s="182"/>
      <c r="M514" s="182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32"/>
      <c r="Z514" s="179"/>
      <c r="AA514" s="179"/>
      <c r="AB514" s="179"/>
      <c r="AC514" s="179"/>
      <c r="AD514" s="132"/>
      <c r="AE514" s="179"/>
      <c r="AF514" s="179"/>
    </row>
    <row r="515" ht="12.75" customHeight="1" spans="1:32" x14ac:dyDescent="0.25">
      <c r="A515" s="179"/>
      <c r="B515" s="179"/>
      <c r="C515" s="179"/>
      <c r="D515" s="179"/>
      <c r="E515" s="179"/>
      <c r="F515" s="179"/>
      <c r="G515" s="179"/>
      <c r="H515" s="179"/>
      <c r="I515" s="181"/>
      <c r="J515" s="179"/>
      <c r="K515" s="179"/>
      <c r="L515" s="182"/>
      <c r="M515" s="182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32"/>
      <c r="Z515" s="179"/>
      <c r="AA515" s="179"/>
      <c r="AB515" s="179"/>
      <c r="AC515" s="179"/>
      <c r="AD515" s="132"/>
      <c r="AE515" s="179"/>
      <c r="AF515" s="179"/>
    </row>
    <row r="516" ht="12.75" customHeight="1" spans="1:32" x14ac:dyDescent="0.25">
      <c r="A516" s="179"/>
      <c r="B516" s="179"/>
      <c r="C516" s="179"/>
      <c r="D516" s="179"/>
      <c r="E516" s="179"/>
      <c r="F516" s="179"/>
      <c r="G516" s="179"/>
      <c r="H516" s="179"/>
      <c r="I516" s="181"/>
      <c r="J516" s="179"/>
      <c r="K516" s="179"/>
      <c r="L516" s="182"/>
      <c r="M516" s="182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32"/>
      <c r="Z516" s="179"/>
      <c r="AA516" s="179"/>
      <c r="AB516" s="179"/>
      <c r="AC516" s="179"/>
      <c r="AD516" s="132"/>
      <c r="AE516" s="179"/>
      <c r="AF516" s="179"/>
    </row>
    <row r="517" ht="12.75" customHeight="1" spans="1:32" x14ac:dyDescent="0.25">
      <c r="A517" s="179"/>
      <c r="B517" s="179"/>
      <c r="C517" s="179"/>
      <c r="D517" s="179"/>
      <c r="E517" s="179"/>
      <c r="F517" s="179"/>
      <c r="G517" s="179"/>
      <c r="H517" s="179"/>
      <c r="I517" s="181"/>
      <c r="J517" s="179"/>
      <c r="K517" s="179"/>
      <c r="L517" s="182"/>
      <c r="M517" s="182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32"/>
      <c r="Z517" s="179"/>
      <c r="AA517" s="179"/>
      <c r="AB517" s="179"/>
      <c r="AC517" s="179"/>
      <c r="AD517" s="132"/>
      <c r="AE517" s="179"/>
      <c r="AF517" s="179"/>
    </row>
    <row r="518" ht="12.75" customHeight="1" spans="1:32" x14ac:dyDescent="0.25">
      <c r="A518" s="179"/>
      <c r="B518" s="179"/>
      <c r="C518" s="179"/>
      <c r="D518" s="179"/>
      <c r="E518" s="179"/>
      <c r="F518" s="179"/>
      <c r="G518" s="179"/>
      <c r="H518" s="179"/>
      <c r="I518" s="181"/>
      <c r="J518" s="179"/>
      <c r="K518" s="179"/>
      <c r="L518" s="182"/>
      <c r="M518" s="182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32"/>
      <c r="Z518" s="179"/>
      <c r="AA518" s="179"/>
      <c r="AB518" s="179"/>
      <c r="AC518" s="179"/>
      <c r="AD518" s="132"/>
      <c r="AE518" s="179"/>
      <c r="AF518" s="179"/>
    </row>
    <row r="519" ht="12.75" customHeight="1" spans="1:32" x14ac:dyDescent="0.25">
      <c r="A519" s="179"/>
      <c r="B519" s="179"/>
      <c r="C519" s="179"/>
      <c r="D519" s="179"/>
      <c r="E519" s="179"/>
      <c r="F519" s="179"/>
      <c r="G519" s="179"/>
      <c r="H519" s="179"/>
      <c r="I519" s="181"/>
      <c r="J519" s="179"/>
      <c r="K519" s="179"/>
      <c r="L519" s="182"/>
      <c r="M519" s="182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32"/>
      <c r="Z519" s="179"/>
      <c r="AA519" s="179"/>
      <c r="AB519" s="179"/>
      <c r="AC519" s="179"/>
      <c r="AD519" s="132"/>
      <c r="AE519" s="179"/>
      <c r="AF519" s="179"/>
    </row>
    <row r="520" ht="12.75" customHeight="1" spans="1:32" x14ac:dyDescent="0.25">
      <c r="A520" s="179"/>
      <c r="B520" s="179"/>
      <c r="C520" s="179"/>
      <c r="D520" s="179"/>
      <c r="E520" s="179"/>
      <c r="F520" s="179"/>
      <c r="G520" s="179"/>
      <c r="H520" s="179"/>
      <c r="I520" s="181"/>
      <c r="J520" s="179"/>
      <c r="K520" s="179"/>
      <c r="L520" s="182"/>
      <c r="M520" s="182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32"/>
      <c r="Z520" s="179"/>
      <c r="AA520" s="179"/>
      <c r="AB520" s="179"/>
      <c r="AC520" s="179"/>
      <c r="AD520" s="132"/>
      <c r="AE520" s="179"/>
      <c r="AF520" s="179"/>
    </row>
    <row r="521" ht="12.75" customHeight="1" spans="1:32" x14ac:dyDescent="0.25">
      <c r="A521" s="179"/>
      <c r="B521" s="179"/>
      <c r="C521" s="179"/>
      <c r="D521" s="179"/>
      <c r="E521" s="179"/>
      <c r="F521" s="179"/>
      <c r="G521" s="179"/>
      <c r="H521" s="179"/>
      <c r="I521" s="181"/>
      <c r="J521" s="179"/>
      <c r="K521" s="179"/>
      <c r="L521" s="182"/>
      <c r="M521" s="182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32"/>
      <c r="Z521" s="179"/>
      <c r="AA521" s="179"/>
      <c r="AB521" s="179"/>
      <c r="AC521" s="179"/>
      <c r="AD521" s="132"/>
      <c r="AE521" s="179"/>
      <c r="AF521" s="179"/>
    </row>
    <row r="522" ht="12.75" customHeight="1" spans="1:32" x14ac:dyDescent="0.25">
      <c r="A522" s="179"/>
      <c r="B522" s="179"/>
      <c r="C522" s="179"/>
      <c r="D522" s="179"/>
      <c r="E522" s="179"/>
      <c r="F522" s="179"/>
      <c r="G522" s="179"/>
      <c r="H522" s="179"/>
      <c r="I522" s="181"/>
      <c r="J522" s="179"/>
      <c r="K522" s="179"/>
      <c r="L522" s="182"/>
      <c r="M522" s="182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32"/>
      <c r="Z522" s="179"/>
      <c r="AA522" s="179"/>
      <c r="AB522" s="179"/>
      <c r="AC522" s="179"/>
      <c r="AD522" s="132"/>
      <c r="AE522" s="179"/>
      <c r="AF522" s="179"/>
    </row>
    <row r="523" ht="12.75" customHeight="1" spans="1:32" x14ac:dyDescent="0.25">
      <c r="A523" s="179"/>
      <c r="B523" s="179"/>
      <c r="C523" s="179"/>
      <c r="D523" s="179"/>
      <c r="E523" s="179"/>
      <c r="F523" s="179"/>
      <c r="G523" s="179"/>
      <c r="H523" s="179"/>
      <c r="I523" s="181"/>
      <c r="J523" s="179"/>
      <c r="K523" s="179"/>
      <c r="L523" s="182"/>
      <c r="M523" s="182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32"/>
      <c r="Z523" s="179"/>
      <c r="AA523" s="179"/>
      <c r="AB523" s="179"/>
      <c r="AC523" s="179"/>
      <c r="AD523" s="132"/>
      <c r="AE523" s="179"/>
      <c r="AF523" s="179"/>
    </row>
    <row r="524" ht="12.75" customHeight="1" spans="1:32" x14ac:dyDescent="0.25">
      <c r="A524" s="179"/>
      <c r="B524" s="179"/>
      <c r="C524" s="179"/>
      <c r="D524" s="179"/>
      <c r="E524" s="179"/>
      <c r="F524" s="179"/>
      <c r="G524" s="179"/>
      <c r="H524" s="179"/>
      <c r="I524" s="181"/>
      <c r="J524" s="179"/>
      <c r="K524" s="179"/>
      <c r="L524" s="182"/>
      <c r="M524" s="182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32"/>
      <c r="Z524" s="179"/>
      <c r="AA524" s="179"/>
      <c r="AB524" s="179"/>
      <c r="AC524" s="179"/>
      <c r="AD524" s="132"/>
      <c r="AE524" s="179"/>
      <c r="AF524" s="179"/>
    </row>
    <row r="525" ht="12.75" customHeight="1" spans="1:32" x14ac:dyDescent="0.25">
      <c r="A525" s="179"/>
      <c r="B525" s="179"/>
      <c r="C525" s="179"/>
      <c r="D525" s="179"/>
      <c r="E525" s="179"/>
      <c r="F525" s="179"/>
      <c r="G525" s="179"/>
      <c r="H525" s="179"/>
      <c r="I525" s="181"/>
      <c r="J525" s="179"/>
      <c r="K525" s="179"/>
      <c r="L525" s="182"/>
      <c r="M525" s="182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32"/>
      <c r="Z525" s="179"/>
      <c r="AA525" s="179"/>
      <c r="AB525" s="179"/>
      <c r="AC525" s="179"/>
      <c r="AD525" s="132"/>
      <c r="AE525" s="179"/>
      <c r="AF525" s="179"/>
    </row>
    <row r="526" ht="12.75" customHeight="1" spans="1:32" x14ac:dyDescent="0.25">
      <c r="A526" s="179"/>
      <c r="B526" s="179"/>
      <c r="C526" s="179"/>
      <c r="D526" s="179"/>
      <c r="E526" s="179"/>
      <c r="F526" s="179"/>
      <c r="G526" s="179"/>
      <c r="H526" s="179"/>
      <c r="I526" s="181"/>
      <c r="J526" s="179"/>
      <c r="K526" s="179"/>
      <c r="L526" s="182"/>
      <c r="M526" s="182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32"/>
      <c r="Z526" s="179"/>
      <c r="AA526" s="179"/>
      <c r="AB526" s="179"/>
      <c r="AC526" s="179"/>
      <c r="AD526" s="132"/>
      <c r="AE526" s="179"/>
      <c r="AF526" s="179"/>
    </row>
    <row r="527" ht="12.75" customHeight="1" spans="1:32" x14ac:dyDescent="0.25">
      <c r="A527" s="179"/>
      <c r="B527" s="179"/>
      <c r="C527" s="179"/>
      <c r="D527" s="179"/>
      <c r="E527" s="179"/>
      <c r="F527" s="179"/>
      <c r="G527" s="179"/>
      <c r="H527" s="179"/>
      <c r="I527" s="181"/>
      <c r="J527" s="179"/>
      <c r="K527" s="179"/>
      <c r="L527" s="182"/>
      <c r="M527" s="182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32"/>
      <c r="Z527" s="179"/>
      <c r="AA527" s="179"/>
      <c r="AB527" s="179"/>
      <c r="AC527" s="179"/>
      <c r="AD527" s="132"/>
      <c r="AE527" s="179"/>
      <c r="AF527" s="179"/>
    </row>
    <row r="528" ht="12.75" customHeight="1" spans="1:32" x14ac:dyDescent="0.25">
      <c r="A528" s="179"/>
      <c r="B528" s="179"/>
      <c r="C528" s="179"/>
      <c r="D528" s="179"/>
      <c r="E528" s="179"/>
      <c r="F528" s="179"/>
      <c r="G528" s="179"/>
      <c r="H528" s="179"/>
      <c r="I528" s="181"/>
      <c r="J528" s="179"/>
      <c r="K528" s="179"/>
      <c r="L528" s="182"/>
      <c r="M528" s="182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32"/>
      <c r="Z528" s="179"/>
      <c r="AA528" s="179"/>
      <c r="AB528" s="179"/>
      <c r="AC528" s="179"/>
      <c r="AD528" s="132"/>
      <c r="AE528" s="179"/>
      <c r="AF528" s="179"/>
    </row>
    <row r="529" ht="12.75" customHeight="1" spans="1:32" x14ac:dyDescent="0.25">
      <c r="A529" s="179"/>
      <c r="B529" s="179"/>
      <c r="C529" s="179"/>
      <c r="D529" s="179"/>
      <c r="E529" s="179"/>
      <c r="F529" s="179"/>
      <c r="G529" s="179"/>
      <c r="H529" s="179"/>
      <c r="I529" s="181"/>
      <c r="J529" s="179"/>
      <c r="K529" s="179"/>
      <c r="L529" s="182"/>
      <c r="M529" s="182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32"/>
      <c r="Z529" s="179"/>
      <c r="AA529" s="179"/>
      <c r="AB529" s="179"/>
      <c r="AC529" s="179"/>
      <c r="AD529" s="132"/>
      <c r="AE529" s="179"/>
      <c r="AF529" s="179"/>
    </row>
    <row r="530" ht="12.75" customHeight="1" spans="1:32" x14ac:dyDescent="0.25">
      <c r="A530" s="179"/>
      <c r="B530" s="179"/>
      <c r="C530" s="179"/>
      <c r="D530" s="179"/>
      <c r="E530" s="179"/>
      <c r="F530" s="179"/>
      <c r="G530" s="179"/>
      <c r="H530" s="179"/>
      <c r="I530" s="181"/>
      <c r="J530" s="179"/>
      <c r="K530" s="179"/>
      <c r="L530" s="182"/>
      <c r="M530" s="182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32"/>
      <c r="Z530" s="179"/>
      <c r="AA530" s="179"/>
      <c r="AB530" s="179"/>
      <c r="AC530" s="179"/>
      <c r="AD530" s="132"/>
      <c r="AE530" s="179"/>
      <c r="AF530" s="179"/>
    </row>
    <row r="531" ht="12.75" customHeight="1" spans="1:32" x14ac:dyDescent="0.25">
      <c r="A531" s="179"/>
      <c r="B531" s="179"/>
      <c r="C531" s="179"/>
      <c r="D531" s="179"/>
      <c r="E531" s="179"/>
      <c r="F531" s="179"/>
      <c r="G531" s="179"/>
      <c r="H531" s="179"/>
      <c r="I531" s="181"/>
      <c r="J531" s="179"/>
      <c r="K531" s="179"/>
      <c r="L531" s="182"/>
      <c r="M531" s="182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32"/>
      <c r="Z531" s="179"/>
      <c r="AA531" s="179"/>
      <c r="AB531" s="179"/>
      <c r="AC531" s="179"/>
      <c r="AD531" s="132"/>
      <c r="AE531" s="179"/>
      <c r="AF531" s="179"/>
    </row>
    <row r="532" ht="12.75" customHeight="1" spans="1:32" x14ac:dyDescent="0.25">
      <c r="A532" s="179"/>
      <c r="B532" s="179"/>
      <c r="C532" s="179"/>
      <c r="D532" s="179"/>
      <c r="E532" s="179"/>
      <c r="F532" s="179"/>
      <c r="G532" s="179"/>
      <c r="H532" s="179"/>
      <c r="I532" s="181"/>
      <c r="J532" s="179"/>
      <c r="K532" s="179"/>
      <c r="L532" s="182"/>
      <c r="M532" s="182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32"/>
      <c r="Z532" s="179"/>
      <c r="AA532" s="179"/>
      <c r="AB532" s="179"/>
      <c r="AC532" s="179"/>
      <c r="AD532" s="132"/>
      <c r="AE532" s="179"/>
      <c r="AF532" s="179"/>
    </row>
    <row r="533" ht="12.75" customHeight="1" spans="1:32" x14ac:dyDescent="0.25">
      <c r="A533" s="179"/>
      <c r="B533" s="179"/>
      <c r="C533" s="179"/>
      <c r="D533" s="179"/>
      <c r="E533" s="179"/>
      <c r="F533" s="179"/>
      <c r="G533" s="179"/>
      <c r="H533" s="179"/>
      <c r="I533" s="181"/>
      <c r="J533" s="179"/>
      <c r="K533" s="179"/>
      <c r="L533" s="182"/>
      <c r="M533" s="182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32"/>
      <c r="Z533" s="179"/>
      <c r="AA533" s="179"/>
      <c r="AB533" s="179"/>
      <c r="AC533" s="179"/>
      <c r="AD533" s="132"/>
      <c r="AE533" s="179"/>
      <c r="AF533" s="179"/>
    </row>
    <row r="534" ht="12.75" customHeight="1" spans="1:32" x14ac:dyDescent="0.25">
      <c r="A534" s="179"/>
      <c r="B534" s="179"/>
      <c r="C534" s="179"/>
      <c r="D534" s="179"/>
      <c r="E534" s="179"/>
      <c r="F534" s="179"/>
      <c r="G534" s="179"/>
      <c r="H534" s="179"/>
      <c r="I534" s="181"/>
      <c r="J534" s="179"/>
      <c r="K534" s="179"/>
      <c r="L534" s="182"/>
      <c r="M534" s="182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32"/>
      <c r="Z534" s="179"/>
      <c r="AA534" s="179"/>
      <c r="AB534" s="179"/>
      <c r="AC534" s="179"/>
      <c r="AD534" s="132"/>
      <c r="AE534" s="179"/>
      <c r="AF534" s="179"/>
    </row>
    <row r="535" ht="12.75" customHeight="1" spans="1:32" x14ac:dyDescent="0.25">
      <c r="A535" s="179"/>
      <c r="B535" s="179"/>
      <c r="C535" s="179"/>
      <c r="D535" s="179"/>
      <c r="E535" s="179"/>
      <c r="F535" s="179"/>
      <c r="G535" s="179"/>
      <c r="H535" s="179"/>
      <c r="I535" s="181"/>
      <c r="J535" s="179"/>
      <c r="K535" s="179"/>
      <c r="L535" s="182"/>
      <c r="M535" s="182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32"/>
      <c r="Z535" s="179"/>
      <c r="AA535" s="179"/>
      <c r="AB535" s="179"/>
      <c r="AC535" s="179"/>
      <c r="AD535" s="132"/>
      <c r="AE535" s="179"/>
      <c r="AF535" s="179"/>
    </row>
    <row r="536" ht="12.75" customHeight="1" spans="1:32" x14ac:dyDescent="0.25">
      <c r="A536" s="179"/>
      <c r="B536" s="179"/>
      <c r="C536" s="179"/>
      <c r="D536" s="179"/>
      <c r="E536" s="179"/>
      <c r="F536" s="179"/>
      <c r="G536" s="179"/>
      <c r="H536" s="179"/>
      <c r="I536" s="181"/>
      <c r="J536" s="179"/>
      <c r="K536" s="179"/>
      <c r="L536" s="182"/>
      <c r="M536" s="182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32"/>
      <c r="Z536" s="179"/>
      <c r="AA536" s="179"/>
      <c r="AB536" s="179"/>
      <c r="AC536" s="179"/>
      <c r="AD536" s="132"/>
      <c r="AE536" s="179"/>
      <c r="AF536" s="179"/>
    </row>
    <row r="537" ht="12.75" customHeight="1" spans="1:32" x14ac:dyDescent="0.25">
      <c r="A537" s="179"/>
      <c r="B537" s="179"/>
      <c r="C537" s="179"/>
      <c r="D537" s="179"/>
      <c r="E537" s="179"/>
      <c r="F537" s="179"/>
      <c r="G537" s="179"/>
      <c r="H537" s="179"/>
      <c r="I537" s="181"/>
      <c r="J537" s="179"/>
      <c r="K537" s="179"/>
      <c r="L537" s="182"/>
      <c r="M537" s="182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32"/>
      <c r="Z537" s="179"/>
      <c r="AA537" s="179"/>
      <c r="AB537" s="179"/>
      <c r="AC537" s="179"/>
      <c r="AD537" s="132"/>
      <c r="AE537" s="179"/>
      <c r="AF537" s="179"/>
    </row>
    <row r="538" ht="12.75" customHeight="1" spans="1:32" x14ac:dyDescent="0.25">
      <c r="A538" s="179"/>
      <c r="B538" s="179"/>
      <c r="C538" s="179"/>
      <c r="D538" s="179"/>
      <c r="E538" s="179"/>
      <c r="F538" s="179"/>
      <c r="G538" s="179"/>
      <c r="H538" s="179"/>
      <c r="I538" s="181"/>
      <c r="J538" s="179"/>
      <c r="K538" s="179"/>
      <c r="L538" s="182"/>
      <c r="M538" s="182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32"/>
      <c r="Z538" s="179"/>
      <c r="AA538" s="179"/>
      <c r="AB538" s="179"/>
      <c r="AC538" s="179"/>
      <c r="AD538" s="132"/>
      <c r="AE538" s="179"/>
      <c r="AF538" s="179"/>
    </row>
    <row r="539" ht="12.75" customHeight="1" spans="1:32" x14ac:dyDescent="0.25">
      <c r="A539" s="179"/>
      <c r="B539" s="179"/>
      <c r="C539" s="179"/>
      <c r="D539" s="179"/>
      <c r="E539" s="179"/>
      <c r="F539" s="179"/>
      <c r="G539" s="179"/>
      <c r="H539" s="179"/>
      <c r="I539" s="181"/>
      <c r="J539" s="179"/>
      <c r="K539" s="179"/>
      <c r="L539" s="182"/>
      <c r="M539" s="182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32"/>
      <c r="Z539" s="179"/>
      <c r="AA539" s="179"/>
      <c r="AB539" s="179"/>
      <c r="AC539" s="179"/>
      <c r="AD539" s="132"/>
      <c r="AE539" s="179"/>
      <c r="AF539" s="179"/>
    </row>
    <row r="540" ht="12.75" customHeight="1" spans="1:32" x14ac:dyDescent="0.25">
      <c r="A540" s="179"/>
      <c r="B540" s="179"/>
      <c r="C540" s="179"/>
      <c r="D540" s="179"/>
      <c r="E540" s="179"/>
      <c r="F540" s="179"/>
      <c r="G540" s="179"/>
      <c r="H540" s="179"/>
      <c r="I540" s="181"/>
      <c r="J540" s="179"/>
      <c r="K540" s="179"/>
      <c r="L540" s="182"/>
      <c r="M540" s="182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32"/>
      <c r="Z540" s="179"/>
      <c r="AA540" s="179"/>
      <c r="AB540" s="179"/>
      <c r="AC540" s="179"/>
      <c r="AD540" s="132"/>
      <c r="AE540" s="179"/>
      <c r="AF540" s="179"/>
    </row>
    <row r="541" ht="12.75" customHeight="1" spans="1:32" x14ac:dyDescent="0.25">
      <c r="A541" s="179"/>
      <c r="B541" s="179"/>
      <c r="C541" s="179"/>
      <c r="D541" s="179"/>
      <c r="E541" s="179"/>
      <c r="F541" s="179"/>
      <c r="G541" s="179"/>
      <c r="H541" s="179"/>
      <c r="I541" s="181"/>
      <c r="J541" s="179"/>
      <c r="K541" s="179"/>
      <c r="L541" s="182"/>
      <c r="M541" s="182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32"/>
      <c r="Z541" s="179"/>
      <c r="AA541" s="179"/>
      <c r="AB541" s="179"/>
      <c r="AC541" s="179"/>
      <c r="AD541" s="132"/>
      <c r="AE541" s="179"/>
      <c r="AF541" s="179"/>
    </row>
    <row r="542" ht="12.75" customHeight="1" spans="1:32" x14ac:dyDescent="0.25">
      <c r="A542" s="179"/>
      <c r="B542" s="179"/>
      <c r="C542" s="179"/>
      <c r="D542" s="179"/>
      <c r="E542" s="179"/>
      <c r="F542" s="179"/>
      <c r="G542" s="179"/>
      <c r="H542" s="179"/>
      <c r="I542" s="181"/>
      <c r="J542" s="179"/>
      <c r="K542" s="179"/>
      <c r="L542" s="182"/>
      <c r="M542" s="182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32"/>
      <c r="Z542" s="179"/>
      <c r="AA542" s="179"/>
      <c r="AB542" s="179"/>
      <c r="AC542" s="179"/>
      <c r="AD542" s="132"/>
      <c r="AE542" s="179"/>
      <c r="AF542" s="179"/>
    </row>
    <row r="543" ht="12.75" customHeight="1" spans="1:32" x14ac:dyDescent="0.25">
      <c r="A543" s="179"/>
      <c r="B543" s="179"/>
      <c r="C543" s="179"/>
      <c r="D543" s="179"/>
      <c r="E543" s="179"/>
      <c r="F543" s="179"/>
      <c r="G543" s="179"/>
      <c r="H543" s="179"/>
      <c r="I543" s="181"/>
      <c r="J543" s="179"/>
      <c r="K543" s="179"/>
      <c r="L543" s="182"/>
      <c r="M543" s="182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32"/>
      <c r="Z543" s="179"/>
      <c r="AA543" s="179"/>
      <c r="AB543" s="179"/>
      <c r="AC543" s="179"/>
      <c r="AD543" s="132"/>
      <c r="AE543" s="179"/>
      <c r="AF543" s="179"/>
    </row>
    <row r="544" ht="12.75" customHeight="1" spans="1:32" x14ac:dyDescent="0.25">
      <c r="A544" s="179"/>
      <c r="B544" s="179"/>
      <c r="C544" s="179"/>
      <c r="D544" s="179"/>
      <c r="E544" s="179"/>
      <c r="F544" s="179"/>
      <c r="G544" s="179"/>
      <c r="H544" s="179"/>
      <c r="I544" s="181"/>
      <c r="J544" s="179"/>
      <c r="K544" s="179"/>
      <c r="L544" s="182"/>
      <c r="M544" s="182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32"/>
      <c r="Z544" s="179"/>
      <c r="AA544" s="179"/>
      <c r="AB544" s="179"/>
      <c r="AC544" s="179"/>
      <c r="AD544" s="132"/>
      <c r="AE544" s="179"/>
      <c r="AF544" s="179"/>
    </row>
    <row r="545" ht="12.75" customHeight="1" spans="1:32" x14ac:dyDescent="0.25">
      <c r="A545" s="179"/>
      <c r="B545" s="179"/>
      <c r="C545" s="179"/>
      <c r="D545" s="179"/>
      <c r="E545" s="179"/>
      <c r="F545" s="179"/>
      <c r="G545" s="179"/>
      <c r="H545" s="179"/>
      <c r="I545" s="181"/>
      <c r="J545" s="179"/>
      <c r="K545" s="179"/>
      <c r="L545" s="182"/>
      <c r="M545" s="182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32"/>
      <c r="Z545" s="179"/>
      <c r="AA545" s="179"/>
      <c r="AB545" s="179"/>
      <c r="AC545" s="179"/>
      <c r="AD545" s="132"/>
      <c r="AE545" s="179"/>
      <c r="AF545" s="179"/>
    </row>
    <row r="546" ht="12.75" customHeight="1" spans="1:32" x14ac:dyDescent="0.25">
      <c r="A546" s="179"/>
      <c r="B546" s="179"/>
      <c r="C546" s="179"/>
      <c r="D546" s="179"/>
      <c r="E546" s="179"/>
      <c r="F546" s="179"/>
      <c r="G546" s="179"/>
      <c r="H546" s="179"/>
      <c r="I546" s="181"/>
      <c r="J546" s="179"/>
      <c r="K546" s="179"/>
      <c r="L546" s="182"/>
      <c r="M546" s="182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32"/>
      <c r="Z546" s="179"/>
      <c r="AA546" s="179"/>
      <c r="AB546" s="179"/>
      <c r="AC546" s="179"/>
      <c r="AD546" s="132"/>
      <c r="AE546" s="179"/>
      <c r="AF546" s="179"/>
    </row>
    <row r="547" ht="12.75" customHeight="1" spans="1:32" x14ac:dyDescent="0.25">
      <c r="A547" s="179"/>
      <c r="B547" s="179"/>
      <c r="C547" s="179"/>
      <c r="D547" s="179"/>
      <c r="E547" s="179"/>
      <c r="F547" s="179"/>
      <c r="G547" s="179"/>
      <c r="H547" s="179"/>
      <c r="I547" s="181"/>
      <c r="J547" s="179"/>
      <c r="K547" s="179"/>
      <c r="L547" s="182"/>
      <c r="M547" s="182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32"/>
      <c r="Z547" s="179"/>
      <c r="AA547" s="179"/>
      <c r="AB547" s="179"/>
      <c r="AC547" s="179"/>
      <c r="AD547" s="132"/>
      <c r="AE547" s="179"/>
      <c r="AF547" s="179"/>
    </row>
    <row r="548" ht="12.75" customHeight="1" spans="1:32" x14ac:dyDescent="0.25">
      <c r="A548" s="179"/>
      <c r="B548" s="179"/>
      <c r="C548" s="179"/>
      <c r="D548" s="179"/>
      <c r="E548" s="179"/>
      <c r="F548" s="179"/>
      <c r="G548" s="179"/>
      <c r="H548" s="179"/>
      <c r="I548" s="181"/>
      <c r="J548" s="179"/>
      <c r="K548" s="179"/>
      <c r="L548" s="182"/>
      <c r="M548" s="182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32"/>
      <c r="Z548" s="179"/>
      <c r="AA548" s="179"/>
      <c r="AB548" s="179"/>
      <c r="AC548" s="179"/>
      <c r="AD548" s="132"/>
      <c r="AE548" s="179"/>
      <c r="AF548" s="179"/>
    </row>
    <row r="549" ht="12.75" customHeight="1" spans="1:32" x14ac:dyDescent="0.25">
      <c r="A549" s="179"/>
      <c r="B549" s="179"/>
      <c r="C549" s="179"/>
      <c r="D549" s="179"/>
      <c r="E549" s="179"/>
      <c r="F549" s="179"/>
      <c r="G549" s="179"/>
      <c r="H549" s="179"/>
      <c r="I549" s="181"/>
      <c r="J549" s="179"/>
      <c r="K549" s="179"/>
      <c r="L549" s="182"/>
      <c r="M549" s="182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32"/>
      <c r="Z549" s="179"/>
      <c r="AA549" s="179"/>
      <c r="AB549" s="179"/>
      <c r="AC549" s="179"/>
      <c r="AD549" s="132"/>
      <c r="AE549" s="179"/>
      <c r="AF549" s="179"/>
    </row>
    <row r="550" ht="12.75" customHeight="1" spans="1:32" x14ac:dyDescent="0.25">
      <c r="A550" s="179"/>
      <c r="B550" s="179"/>
      <c r="C550" s="179"/>
      <c r="D550" s="179"/>
      <c r="E550" s="179"/>
      <c r="F550" s="179"/>
      <c r="G550" s="179"/>
      <c r="H550" s="179"/>
      <c r="I550" s="181"/>
      <c r="J550" s="179"/>
      <c r="K550" s="179"/>
      <c r="L550" s="182"/>
      <c r="M550" s="182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32"/>
      <c r="Z550" s="179"/>
      <c r="AA550" s="179"/>
      <c r="AB550" s="179"/>
      <c r="AC550" s="179"/>
      <c r="AD550" s="132"/>
      <c r="AE550" s="179"/>
      <c r="AF550" s="179"/>
    </row>
    <row r="551" ht="12.75" customHeight="1" spans="1:32" x14ac:dyDescent="0.25">
      <c r="A551" s="179"/>
      <c r="B551" s="179"/>
      <c r="C551" s="179"/>
      <c r="D551" s="179"/>
      <c r="E551" s="179"/>
      <c r="F551" s="179"/>
      <c r="G551" s="179"/>
      <c r="H551" s="179"/>
      <c r="I551" s="181"/>
      <c r="J551" s="179"/>
      <c r="K551" s="179"/>
      <c r="L551" s="182"/>
      <c r="M551" s="182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32"/>
      <c r="Z551" s="179"/>
      <c r="AA551" s="179"/>
      <c r="AB551" s="179"/>
      <c r="AC551" s="179"/>
      <c r="AD551" s="132"/>
      <c r="AE551" s="179"/>
      <c r="AF551" s="179"/>
    </row>
    <row r="552" ht="12.75" customHeight="1" spans="1:32" x14ac:dyDescent="0.25">
      <c r="A552" s="179"/>
      <c r="B552" s="179"/>
      <c r="C552" s="179"/>
      <c r="D552" s="179"/>
      <c r="E552" s="179"/>
      <c r="F552" s="179"/>
      <c r="G552" s="179"/>
      <c r="H552" s="179"/>
      <c r="I552" s="181"/>
      <c r="J552" s="179"/>
      <c r="K552" s="179"/>
      <c r="L552" s="182"/>
      <c r="M552" s="182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32"/>
      <c r="Z552" s="179"/>
      <c r="AA552" s="179"/>
      <c r="AB552" s="179"/>
      <c r="AC552" s="179"/>
      <c r="AD552" s="132"/>
      <c r="AE552" s="179"/>
      <c r="AF552" s="179"/>
    </row>
    <row r="553" ht="12.75" customHeight="1" spans="1:32" x14ac:dyDescent="0.25">
      <c r="A553" s="179"/>
      <c r="B553" s="179"/>
      <c r="C553" s="179"/>
      <c r="D553" s="179"/>
      <c r="E553" s="179"/>
      <c r="F553" s="179"/>
      <c r="G553" s="179"/>
      <c r="H553" s="179"/>
      <c r="I553" s="181"/>
      <c r="J553" s="179"/>
      <c r="K553" s="179"/>
      <c r="L553" s="182"/>
      <c r="M553" s="182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32"/>
      <c r="Z553" s="179"/>
      <c r="AA553" s="179"/>
      <c r="AB553" s="179"/>
      <c r="AC553" s="179"/>
      <c r="AD553" s="132"/>
      <c r="AE553" s="179"/>
      <c r="AF553" s="179"/>
    </row>
    <row r="554" ht="12.75" customHeight="1" spans="1:32" x14ac:dyDescent="0.25">
      <c r="A554" s="179"/>
      <c r="B554" s="179"/>
      <c r="C554" s="179"/>
      <c r="D554" s="179"/>
      <c r="E554" s="179"/>
      <c r="F554" s="179"/>
      <c r="G554" s="179"/>
      <c r="H554" s="179"/>
      <c r="I554" s="181"/>
      <c r="J554" s="179"/>
      <c r="K554" s="179"/>
      <c r="L554" s="182"/>
      <c r="M554" s="182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32"/>
      <c r="Z554" s="179"/>
      <c r="AA554" s="179"/>
      <c r="AB554" s="179"/>
      <c r="AC554" s="179"/>
      <c r="AD554" s="132"/>
      <c r="AE554" s="179"/>
      <c r="AF554" s="179"/>
    </row>
    <row r="555" ht="12.75" customHeight="1" spans="1:32" x14ac:dyDescent="0.25">
      <c r="A555" s="179"/>
      <c r="B555" s="179"/>
      <c r="C555" s="179"/>
      <c r="D555" s="179"/>
      <c r="E555" s="179"/>
      <c r="F555" s="179"/>
      <c r="G555" s="179"/>
      <c r="H555" s="179"/>
      <c r="I555" s="181"/>
      <c r="J555" s="179"/>
      <c r="K555" s="179"/>
      <c r="L555" s="182"/>
      <c r="M555" s="182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32"/>
      <c r="Z555" s="179"/>
      <c r="AA555" s="179"/>
      <c r="AB555" s="179"/>
      <c r="AC555" s="179"/>
      <c r="AD555" s="132"/>
      <c r="AE555" s="179"/>
      <c r="AF555" s="179"/>
    </row>
    <row r="556" ht="12.75" customHeight="1" spans="1:32" x14ac:dyDescent="0.25">
      <c r="A556" s="179"/>
      <c r="B556" s="179"/>
      <c r="C556" s="179"/>
      <c r="D556" s="179"/>
      <c r="E556" s="179"/>
      <c r="F556" s="179"/>
      <c r="G556" s="179"/>
      <c r="H556" s="179"/>
      <c r="I556" s="181"/>
      <c r="J556" s="179"/>
      <c r="K556" s="179"/>
      <c r="L556" s="182"/>
      <c r="M556" s="182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32"/>
      <c r="Z556" s="179"/>
      <c r="AA556" s="179"/>
      <c r="AB556" s="179"/>
      <c r="AC556" s="179"/>
      <c r="AD556" s="132"/>
      <c r="AE556" s="179"/>
      <c r="AF556" s="179"/>
    </row>
    <row r="557" ht="12.75" customHeight="1" spans="1:32" x14ac:dyDescent="0.25">
      <c r="A557" s="179"/>
      <c r="B557" s="179"/>
      <c r="C557" s="179"/>
      <c r="D557" s="179"/>
      <c r="E557" s="179"/>
      <c r="F557" s="179"/>
      <c r="G557" s="179"/>
      <c r="H557" s="179"/>
      <c r="I557" s="181"/>
      <c r="J557" s="179"/>
      <c r="K557" s="179"/>
      <c r="L557" s="182"/>
      <c r="M557" s="182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32"/>
      <c r="Z557" s="179"/>
      <c r="AA557" s="179"/>
      <c r="AB557" s="179"/>
      <c r="AC557" s="179"/>
      <c r="AD557" s="132"/>
      <c r="AE557" s="179"/>
      <c r="AF557" s="179"/>
    </row>
    <row r="558" ht="12.75" customHeight="1" spans="1:32" x14ac:dyDescent="0.25">
      <c r="A558" s="179"/>
      <c r="B558" s="179"/>
      <c r="C558" s="179"/>
      <c r="D558" s="179"/>
      <c r="E558" s="179"/>
      <c r="F558" s="179"/>
      <c r="G558" s="179"/>
      <c r="H558" s="179"/>
      <c r="I558" s="181"/>
      <c r="J558" s="179"/>
      <c r="K558" s="179"/>
      <c r="L558" s="182"/>
      <c r="M558" s="182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32"/>
      <c r="Z558" s="179"/>
      <c r="AA558" s="179"/>
      <c r="AB558" s="179"/>
      <c r="AC558" s="179"/>
      <c r="AD558" s="132"/>
      <c r="AE558" s="179"/>
      <c r="AF558" s="179"/>
    </row>
    <row r="559" ht="12.75" customHeight="1" spans="1:32" x14ac:dyDescent="0.25">
      <c r="A559" s="179"/>
      <c r="B559" s="179"/>
      <c r="C559" s="179"/>
      <c r="D559" s="179"/>
      <c r="E559" s="179"/>
      <c r="F559" s="179"/>
      <c r="G559" s="179"/>
      <c r="H559" s="179"/>
      <c r="I559" s="181"/>
      <c r="J559" s="179"/>
      <c r="K559" s="179"/>
      <c r="L559" s="182"/>
      <c r="M559" s="182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32"/>
      <c r="Z559" s="179"/>
      <c r="AA559" s="179"/>
      <c r="AB559" s="179"/>
      <c r="AC559" s="179"/>
      <c r="AD559" s="132"/>
      <c r="AE559" s="179"/>
      <c r="AF559" s="179"/>
    </row>
    <row r="560" ht="12.75" customHeight="1" spans="1:32" x14ac:dyDescent="0.25">
      <c r="A560" s="179"/>
      <c r="B560" s="179"/>
      <c r="C560" s="179"/>
      <c r="D560" s="179"/>
      <c r="E560" s="179"/>
      <c r="F560" s="179"/>
      <c r="G560" s="179"/>
      <c r="H560" s="179"/>
      <c r="I560" s="181"/>
      <c r="J560" s="179"/>
      <c r="K560" s="179"/>
      <c r="L560" s="182"/>
      <c r="M560" s="182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32"/>
      <c r="Z560" s="179"/>
      <c r="AA560" s="179"/>
      <c r="AB560" s="179"/>
      <c r="AC560" s="179"/>
      <c r="AD560" s="132"/>
      <c r="AE560" s="179"/>
      <c r="AF560" s="179"/>
    </row>
    <row r="561" ht="12.75" customHeight="1" spans="1:32" x14ac:dyDescent="0.25">
      <c r="A561" s="179"/>
      <c r="B561" s="179"/>
      <c r="C561" s="179"/>
      <c r="D561" s="179"/>
      <c r="E561" s="179"/>
      <c r="F561" s="179"/>
      <c r="G561" s="179"/>
      <c r="H561" s="179"/>
      <c r="I561" s="181"/>
      <c r="J561" s="179"/>
      <c r="K561" s="179"/>
      <c r="L561" s="182"/>
      <c r="M561" s="182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32"/>
      <c r="Z561" s="179"/>
      <c r="AA561" s="179"/>
      <c r="AB561" s="179"/>
      <c r="AC561" s="179"/>
      <c r="AD561" s="132"/>
      <c r="AE561" s="179"/>
      <c r="AF561" s="179"/>
    </row>
    <row r="562" ht="12.75" customHeight="1" spans="1:32" x14ac:dyDescent="0.25">
      <c r="A562" s="179"/>
      <c r="B562" s="179"/>
      <c r="C562" s="179"/>
      <c r="D562" s="179"/>
      <c r="E562" s="179"/>
      <c r="F562" s="179"/>
      <c r="G562" s="179"/>
      <c r="H562" s="179"/>
      <c r="I562" s="181"/>
      <c r="J562" s="179"/>
      <c r="K562" s="179"/>
      <c r="L562" s="182"/>
      <c r="M562" s="182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32"/>
      <c r="Z562" s="179"/>
      <c r="AA562" s="179"/>
      <c r="AB562" s="179"/>
      <c r="AC562" s="179"/>
      <c r="AD562" s="132"/>
      <c r="AE562" s="179"/>
      <c r="AF562" s="179"/>
    </row>
    <row r="563" ht="12.75" customHeight="1" spans="1:32" x14ac:dyDescent="0.25">
      <c r="A563" s="179"/>
      <c r="B563" s="179"/>
      <c r="C563" s="179"/>
      <c r="D563" s="179"/>
      <c r="E563" s="179"/>
      <c r="F563" s="179"/>
      <c r="G563" s="179"/>
      <c r="H563" s="179"/>
      <c r="I563" s="181"/>
      <c r="J563" s="179"/>
      <c r="K563" s="179"/>
      <c r="L563" s="182"/>
      <c r="M563" s="182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32"/>
      <c r="Z563" s="179"/>
      <c r="AA563" s="179"/>
      <c r="AB563" s="179"/>
      <c r="AC563" s="179"/>
      <c r="AD563" s="132"/>
      <c r="AE563" s="179"/>
      <c r="AF563" s="179"/>
    </row>
    <row r="564" ht="12.75" customHeight="1" spans="1:32" x14ac:dyDescent="0.25">
      <c r="A564" s="179"/>
      <c r="B564" s="179"/>
      <c r="C564" s="179"/>
      <c r="D564" s="179"/>
      <c r="E564" s="179"/>
      <c r="F564" s="179"/>
      <c r="G564" s="179"/>
      <c r="H564" s="179"/>
      <c r="I564" s="181"/>
      <c r="J564" s="179"/>
      <c r="K564" s="179"/>
      <c r="L564" s="182"/>
      <c r="M564" s="182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32"/>
      <c r="Z564" s="179"/>
      <c r="AA564" s="179"/>
      <c r="AB564" s="179"/>
      <c r="AC564" s="179"/>
      <c r="AD564" s="132"/>
      <c r="AE564" s="179"/>
      <c r="AF564" s="179"/>
    </row>
    <row r="565" ht="12.75" customHeight="1" spans="1:32" x14ac:dyDescent="0.25">
      <c r="A565" s="179"/>
      <c r="B565" s="179"/>
      <c r="C565" s="179"/>
      <c r="D565" s="179"/>
      <c r="E565" s="179"/>
      <c r="F565" s="179"/>
      <c r="G565" s="179"/>
      <c r="H565" s="179"/>
      <c r="I565" s="181"/>
      <c r="J565" s="179"/>
      <c r="K565" s="179"/>
      <c r="L565" s="182"/>
      <c r="M565" s="182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32"/>
      <c r="Z565" s="179"/>
      <c r="AA565" s="179"/>
      <c r="AB565" s="179"/>
      <c r="AC565" s="179"/>
      <c r="AD565" s="132"/>
      <c r="AE565" s="179"/>
      <c r="AF565" s="179"/>
    </row>
    <row r="566" ht="12.75" customHeight="1" spans="1:32" x14ac:dyDescent="0.25">
      <c r="A566" s="179"/>
      <c r="B566" s="179"/>
      <c r="C566" s="179"/>
      <c r="D566" s="179"/>
      <c r="E566" s="179"/>
      <c r="F566" s="179"/>
      <c r="G566" s="179"/>
      <c r="H566" s="179"/>
      <c r="I566" s="181"/>
      <c r="J566" s="179"/>
      <c r="K566" s="179"/>
      <c r="L566" s="182"/>
      <c r="M566" s="182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32"/>
      <c r="Z566" s="179"/>
      <c r="AA566" s="179"/>
      <c r="AB566" s="179"/>
      <c r="AC566" s="179"/>
      <c r="AD566" s="132"/>
      <c r="AE566" s="179"/>
      <c r="AF566" s="179"/>
    </row>
    <row r="567" ht="12.75" customHeight="1" spans="1:32" x14ac:dyDescent="0.25">
      <c r="A567" s="179"/>
      <c r="B567" s="179"/>
      <c r="C567" s="179"/>
      <c r="D567" s="179"/>
      <c r="E567" s="179"/>
      <c r="F567" s="179"/>
      <c r="G567" s="179"/>
      <c r="H567" s="179"/>
      <c r="I567" s="181"/>
      <c r="J567" s="179"/>
      <c r="K567" s="179"/>
      <c r="L567" s="182"/>
      <c r="M567" s="182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32"/>
      <c r="Z567" s="179"/>
      <c r="AA567" s="179"/>
      <c r="AB567" s="179"/>
      <c r="AC567" s="179"/>
      <c r="AD567" s="132"/>
      <c r="AE567" s="179"/>
      <c r="AF567" s="179"/>
    </row>
    <row r="568" ht="12.75" customHeight="1" spans="1:32" x14ac:dyDescent="0.25">
      <c r="A568" s="179"/>
      <c r="B568" s="179"/>
      <c r="C568" s="179"/>
      <c r="D568" s="179"/>
      <c r="E568" s="179"/>
      <c r="F568" s="179"/>
      <c r="G568" s="179"/>
      <c r="H568" s="179"/>
      <c r="I568" s="181"/>
      <c r="J568" s="179"/>
      <c r="K568" s="179"/>
      <c r="L568" s="182"/>
      <c r="M568" s="182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32"/>
      <c r="Z568" s="179"/>
      <c r="AA568" s="179"/>
      <c r="AB568" s="179"/>
      <c r="AC568" s="179"/>
      <c r="AD568" s="132"/>
      <c r="AE568" s="179"/>
      <c r="AF568" s="179"/>
    </row>
    <row r="569" ht="12.75" customHeight="1" spans="1:32" x14ac:dyDescent="0.25">
      <c r="A569" s="179"/>
      <c r="B569" s="179"/>
      <c r="C569" s="179"/>
      <c r="D569" s="179"/>
      <c r="E569" s="179"/>
      <c r="F569" s="179"/>
      <c r="G569" s="179"/>
      <c r="H569" s="179"/>
      <c r="I569" s="181"/>
      <c r="J569" s="179"/>
      <c r="K569" s="179"/>
      <c r="L569" s="182"/>
      <c r="M569" s="182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32"/>
      <c r="Z569" s="179"/>
      <c r="AA569" s="179"/>
      <c r="AB569" s="179"/>
      <c r="AC569" s="179"/>
      <c r="AD569" s="132"/>
      <c r="AE569" s="179"/>
      <c r="AF569" s="179"/>
    </row>
    <row r="570" ht="12.75" customHeight="1" spans="1:32" x14ac:dyDescent="0.25">
      <c r="A570" s="179"/>
      <c r="B570" s="179"/>
      <c r="C570" s="179"/>
      <c r="D570" s="179"/>
      <c r="E570" s="179"/>
      <c r="F570" s="179"/>
      <c r="G570" s="179"/>
      <c r="H570" s="179"/>
      <c r="I570" s="181"/>
      <c r="J570" s="179"/>
      <c r="K570" s="179"/>
      <c r="L570" s="182"/>
      <c r="M570" s="182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32"/>
      <c r="Z570" s="179"/>
      <c r="AA570" s="179"/>
      <c r="AB570" s="179"/>
      <c r="AC570" s="179"/>
      <c r="AD570" s="132"/>
      <c r="AE570" s="179"/>
      <c r="AF570" s="179"/>
    </row>
    <row r="571" ht="12.75" customHeight="1" spans="1:32" x14ac:dyDescent="0.25">
      <c r="A571" s="179"/>
      <c r="B571" s="179"/>
      <c r="C571" s="179"/>
      <c r="D571" s="179"/>
      <c r="E571" s="179"/>
      <c r="F571" s="179"/>
      <c r="G571" s="179"/>
      <c r="H571" s="179"/>
      <c r="I571" s="181"/>
      <c r="J571" s="179"/>
      <c r="K571" s="179"/>
      <c r="L571" s="182"/>
      <c r="M571" s="182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32"/>
      <c r="Z571" s="179"/>
      <c r="AA571" s="179"/>
      <c r="AB571" s="179"/>
      <c r="AC571" s="179"/>
      <c r="AD571" s="132"/>
      <c r="AE571" s="179"/>
      <c r="AF571" s="179"/>
    </row>
    <row r="572" ht="12.75" customHeight="1" spans="1:32" x14ac:dyDescent="0.25">
      <c r="A572" s="179"/>
      <c r="B572" s="179"/>
      <c r="C572" s="179"/>
      <c r="D572" s="179"/>
      <c r="E572" s="179"/>
      <c r="F572" s="179"/>
      <c r="G572" s="179"/>
      <c r="H572" s="179"/>
      <c r="I572" s="181"/>
      <c r="J572" s="179"/>
      <c r="K572" s="179"/>
      <c r="L572" s="182"/>
      <c r="M572" s="182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32"/>
      <c r="Z572" s="179"/>
      <c r="AA572" s="179"/>
      <c r="AB572" s="179"/>
      <c r="AC572" s="179"/>
      <c r="AD572" s="132"/>
      <c r="AE572" s="179"/>
      <c r="AF572" s="179"/>
    </row>
    <row r="573" ht="12.75" customHeight="1" spans="1:32" x14ac:dyDescent="0.25">
      <c r="A573" s="179"/>
      <c r="B573" s="179"/>
      <c r="C573" s="179"/>
      <c r="D573" s="179"/>
      <c r="E573" s="179"/>
      <c r="F573" s="179"/>
      <c r="G573" s="179"/>
      <c r="H573" s="179"/>
      <c r="I573" s="181"/>
      <c r="J573" s="179"/>
      <c r="K573" s="179"/>
      <c r="L573" s="182"/>
      <c r="M573" s="182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32"/>
      <c r="Z573" s="179"/>
      <c r="AA573" s="179"/>
      <c r="AB573" s="179"/>
      <c r="AC573" s="179"/>
      <c r="AD573" s="132"/>
      <c r="AE573" s="179"/>
      <c r="AF573" s="179"/>
    </row>
    <row r="574" ht="12.75" customHeight="1" spans="1:32" x14ac:dyDescent="0.25">
      <c r="A574" s="179"/>
      <c r="B574" s="179"/>
      <c r="C574" s="179"/>
      <c r="D574" s="179"/>
      <c r="E574" s="179"/>
      <c r="F574" s="179"/>
      <c r="G574" s="179"/>
      <c r="H574" s="179"/>
      <c r="I574" s="181"/>
      <c r="J574" s="179"/>
      <c r="K574" s="179"/>
      <c r="L574" s="182"/>
      <c r="M574" s="182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32"/>
      <c r="Z574" s="179"/>
      <c r="AA574" s="179"/>
      <c r="AB574" s="179"/>
      <c r="AC574" s="179"/>
      <c r="AD574" s="132"/>
      <c r="AE574" s="179"/>
      <c r="AF574" s="179"/>
    </row>
    <row r="575" ht="12.75" customHeight="1" spans="1:32" x14ac:dyDescent="0.25">
      <c r="A575" s="179"/>
      <c r="B575" s="179"/>
      <c r="C575" s="179"/>
      <c r="D575" s="179"/>
      <c r="E575" s="179"/>
      <c r="F575" s="179"/>
      <c r="G575" s="179"/>
      <c r="H575" s="179"/>
      <c r="I575" s="181"/>
      <c r="J575" s="179"/>
      <c r="K575" s="179"/>
      <c r="L575" s="182"/>
      <c r="M575" s="182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32"/>
      <c r="Z575" s="179"/>
      <c r="AA575" s="179"/>
      <c r="AB575" s="179"/>
      <c r="AC575" s="179"/>
      <c r="AD575" s="132"/>
      <c r="AE575" s="179"/>
      <c r="AF575" s="179"/>
    </row>
    <row r="576" ht="12.75" customHeight="1" spans="1:32" x14ac:dyDescent="0.25">
      <c r="A576" s="179"/>
      <c r="B576" s="179"/>
      <c r="C576" s="179"/>
      <c r="D576" s="179"/>
      <c r="E576" s="179"/>
      <c r="F576" s="179"/>
      <c r="G576" s="179"/>
      <c r="H576" s="179"/>
      <c r="I576" s="181"/>
      <c r="J576" s="179"/>
      <c r="K576" s="179"/>
      <c r="L576" s="182"/>
      <c r="M576" s="182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32"/>
      <c r="Z576" s="179"/>
      <c r="AA576" s="179"/>
      <c r="AB576" s="179"/>
      <c r="AC576" s="179"/>
      <c r="AD576" s="132"/>
      <c r="AE576" s="179"/>
      <c r="AF576" s="179"/>
    </row>
    <row r="577" ht="12.75" customHeight="1" spans="1:32" x14ac:dyDescent="0.25">
      <c r="A577" s="179"/>
      <c r="B577" s="179"/>
      <c r="C577" s="179"/>
      <c r="D577" s="179"/>
      <c r="E577" s="179"/>
      <c r="F577" s="179"/>
      <c r="G577" s="179"/>
      <c r="H577" s="179"/>
      <c r="I577" s="181"/>
      <c r="J577" s="179"/>
      <c r="K577" s="179"/>
      <c r="L577" s="182"/>
      <c r="M577" s="182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32"/>
      <c r="Z577" s="179"/>
      <c r="AA577" s="179"/>
      <c r="AB577" s="179"/>
      <c r="AC577" s="179"/>
      <c r="AD577" s="132"/>
      <c r="AE577" s="179"/>
      <c r="AF577" s="179"/>
    </row>
    <row r="578" ht="12.75" customHeight="1" spans="1:32" x14ac:dyDescent="0.25">
      <c r="A578" s="179"/>
      <c r="B578" s="179"/>
      <c r="C578" s="179"/>
      <c r="D578" s="179"/>
      <c r="E578" s="179"/>
      <c r="F578" s="179"/>
      <c r="G578" s="179"/>
      <c r="H578" s="179"/>
      <c r="I578" s="181"/>
      <c r="J578" s="179"/>
      <c r="K578" s="179"/>
      <c r="L578" s="182"/>
      <c r="M578" s="182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32"/>
      <c r="Z578" s="179"/>
      <c r="AA578" s="179"/>
      <c r="AB578" s="179"/>
      <c r="AC578" s="179"/>
      <c r="AD578" s="132"/>
      <c r="AE578" s="179"/>
      <c r="AF578" s="179"/>
    </row>
    <row r="579" ht="12.75" customHeight="1" spans="1:32" x14ac:dyDescent="0.25">
      <c r="A579" s="179"/>
      <c r="B579" s="179"/>
      <c r="C579" s="179"/>
      <c r="D579" s="179"/>
      <c r="E579" s="179"/>
      <c r="F579" s="179"/>
      <c r="G579" s="179"/>
      <c r="H579" s="179"/>
      <c r="I579" s="181"/>
      <c r="J579" s="179"/>
      <c r="K579" s="179"/>
      <c r="L579" s="182"/>
      <c r="M579" s="182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32"/>
      <c r="Z579" s="179"/>
      <c r="AA579" s="179"/>
      <c r="AB579" s="179"/>
      <c r="AC579" s="179"/>
      <c r="AD579" s="132"/>
      <c r="AE579" s="179"/>
      <c r="AF579" s="179"/>
    </row>
    <row r="580" ht="12.75" customHeight="1" spans="1:32" x14ac:dyDescent="0.25">
      <c r="A580" s="179"/>
      <c r="B580" s="179"/>
      <c r="C580" s="179"/>
      <c r="D580" s="179"/>
      <c r="E580" s="179"/>
      <c r="F580" s="179"/>
      <c r="G580" s="179"/>
      <c r="H580" s="179"/>
      <c r="I580" s="181"/>
      <c r="J580" s="179"/>
      <c r="K580" s="179"/>
      <c r="L580" s="182"/>
      <c r="M580" s="182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32"/>
      <c r="Z580" s="179"/>
      <c r="AA580" s="179"/>
      <c r="AB580" s="179"/>
      <c r="AC580" s="179"/>
      <c r="AD580" s="132"/>
      <c r="AE580" s="179"/>
      <c r="AF580" s="179"/>
    </row>
    <row r="581" ht="12.75" customHeight="1" spans="1:32" x14ac:dyDescent="0.25">
      <c r="A581" s="179"/>
      <c r="B581" s="179"/>
      <c r="C581" s="179"/>
      <c r="D581" s="179"/>
      <c r="E581" s="179"/>
      <c r="F581" s="179"/>
      <c r="G581" s="179"/>
      <c r="H581" s="179"/>
      <c r="I581" s="181"/>
      <c r="J581" s="179"/>
      <c r="K581" s="179"/>
      <c r="L581" s="182"/>
      <c r="M581" s="182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32"/>
      <c r="Z581" s="179"/>
      <c r="AA581" s="179"/>
      <c r="AB581" s="179"/>
      <c r="AC581" s="179"/>
      <c r="AD581" s="132"/>
      <c r="AE581" s="179"/>
      <c r="AF581" s="179"/>
    </row>
    <row r="582" ht="12.75" customHeight="1" spans="1:32" x14ac:dyDescent="0.25">
      <c r="A582" s="179"/>
      <c r="B582" s="179"/>
      <c r="C582" s="179"/>
      <c r="D582" s="179"/>
      <c r="E582" s="179"/>
      <c r="F582" s="179"/>
      <c r="G582" s="179"/>
      <c r="H582" s="179"/>
      <c r="I582" s="181"/>
      <c r="J582" s="179"/>
      <c r="K582" s="179"/>
      <c r="L582" s="182"/>
      <c r="M582" s="182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32"/>
      <c r="Z582" s="179"/>
      <c r="AA582" s="179"/>
      <c r="AB582" s="179"/>
      <c r="AC582" s="179"/>
      <c r="AD582" s="132"/>
      <c r="AE582" s="179"/>
      <c r="AF582" s="179"/>
    </row>
    <row r="583" ht="12.75" customHeight="1" spans="1:32" x14ac:dyDescent="0.25">
      <c r="A583" s="179"/>
      <c r="B583" s="179"/>
      <c r="C583" s="179"/>
      <c r="D583" s="179"/>
      <c r="E583" s="179"/>
      <c r="F583" s="179"/>
      <c r="G583" s="179"/>
      <c r="H583" s="179"/>
      <c r="I583" s="181"/>
      <c r="J583" s="179"/>
      <c r="K583" s="179"/>
      <c r="L583" s="182"/>
      <c r="M583" s="182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32"/>
      <c r="Z583" s="179"/>
      <c r="AA583" s="179"/>
      <c r="AB583" s="179"/>
      <c r="AC583" s="179"/>
      <c r="AD583" s="132"/>
      <c r="AE583" s="179"/>
      <c r="AF583" s="179"/>
    </row>
    <row r="584" ht="12.75" customHeight="1" spans="1:32" x14ac:dyDescent="0.25">
      <c r="A584" s="179"/>
      <c r="B584" s="179"/>
      <c r="C584" s="179"/>
      <c r="D584" s="179"/>
      <c r="E584" s="179"/>
      <c r="F584" s="179"/>
      <c r="G584" s="179"/>
      <c r="H584" s="179"/>
      <c r="I584" s="181"/>
      <c r="J584" s="179"/>
      <c r="K584" s="179"/>
      <c r="L584" s="182"/>
      <c r="M584" s="182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32"/>
      <c r="Z584" s="179"/>
      <c r="AA584" s="179"/>
      <c r="AB584" s="179"/>
      <c r="AC584" s="179"/>
      <c r="AD584" s="132"/>
      <c r="AE584" s="179"/>
      <c r="AF584" s="179"/>
    </row>
    <row r="585" ht="12.75" customHeight="1" spans="1:32" x14ac:dyDescent="0.25">
      <c r="A585" s="179"/>
      <c r="B585" s="179"/>
      <c r="C585" s="179"/>
      <c r="D585" s="179"/>
      <c r="E585" s="179"/>
      <c r="F585" s="179"/>
      <c r="G585" s="179"/>
      <c r="H585" s="179"/>
      <c r="I585" s="181"/>
      <c r="J585" s="179"/>
      <c r="K585" s="179"/>
      <c r="L585" s="182"/>
      <c r="M585" s="182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32"/>
      <c r="Z585" s="179"/>
      <c r="AA585" s="179"/>
      <c r="AB585" s="179"/>
      <c r="AC585" s="179"/>
      <c r="AD585" s="132"/>
      <c r="AE585" s="179"/>
      <c r="AF585" s="179"/>
    </row>
    <row r="586" ht="12.75" customHeight="1" spans="1:32" x14ac:dyDescent="0.25">
      <c r="A586" s="179"/>
      <c r="B586" s="179"/>
      <c r="C586" s="179"/>
      <c r="D586" s="179"/>
      <c r="E586" s="179"/>
      <c r="F586" s="179"/>
      <c r="G586" s="179"/>
      <c r="H586" s="179"/>
      <c r="I586" s="181"/>
      <c r="J586" s="179"/>
      <c r="K586" s="179"/>
      <c r="L586" s="182"/>
      <c r="M586" s="182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32"/>
      <c r="Z586" s="179"/>
      <c r="AA586" s="179"/>
      <c r="AB586" s="179"/>
      <c r="AC586" s="179"/>
      <c r="AD586" s="132"/>
      <c r="AE586" s="179"/>
      <c r="AF586" s="179"/>
    </row>
    <row r="587" ht="12.75" customHeight="1" spans="1:32" x14ac:dyDescent="0.25">
      <c r="A587" s="179"/>
      <c r="B587" s="179"/>
      <c r="C587" s="179"/>
      <c r="D587" s="179"/>
      <c r="E587" s="179"/>
      <c r="F587" s="179"/>
      <c r="G587" s="179"/>
      <c r="H587" s="179"/>
      <c r="I587" s="181"/>
      <c r="J587" s="179"/>
      <c r="K587" s="179"/>
      <c r="L587" s="182"/>
      <c r="M587" s="182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32"/>
      <c r="Z587" s="179"/>
      <c r="AA587" s="179"/>
      <c r="AB587" s="179"/>
      <c r="AC587" s="179"/>
      <c r="AD587" s="132"/>
      <c r="AE587" s="179"/>
      <c r="AF587" s="179"/>
    </row>
    <row r="588" ht="12.75" customHeight="1" spans="1:32" x14ac:dyDescent="0.25">
      <c r="A588" s="179"/>
      <c r="B588" s="179"/>
      <c r="C588" s="179"/>
      <c r="D588" s="179"/>
      <c r="E588" s="179"/>
      <c r="F588" s="179"/>
      <c r="G588" s="179"/>
      <c r="H588" s="179"/>
      <c r="I588" s="181"/>
      <c r="J588" s="179"/>
      <c r="K588" s="179"/>
      <c r="L588" s="182"/>
      <c r="M588" s="182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32"/>
      <c r="Z588" s="179"/>
      <c r="AA588" s="179"/>
      <c r="AB588" s="179"/>
      <c r="AC588" s="179"/>
      <c r="AD588" s="132"/>
      <c r="AE588" s="179"/>
      <c r="AF588" s="179"/>
    </row>
    <row r="589" ht="12.75" customHeight="1" spans="1:32" x14ac:dyDescent="0.25">
      <c r="A589" s="179"/>
      <c r="B589" s="179"/>
      <c r="C589" s="179"/>
      <c r="D589" s="179"/>
      <c r="E589" s="179"/>
      <c r="F589" s="179"/>
      <c r="G589" s="179"/>
      <c r="H589" s="179"/>
      <c r="I589" s="181"/>
      <c r="J589" s="179"/>
      <c r="K589" s="179"/>
      <c r="L589" s="182"/>
      <c r="M589" s="182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32"/>
      <c r="Z589" s="179"/>
      <c r="AA589" s="179"/>
      <c r="AB589" s="179"/>
      <c r="AC589" s="179"/>
      <c r="AD589" s="132"/>
      <c r="AE589" s="179"/>
      <c r="AF589" s="179"/>
    </row>
    <row r="590" ht="12.75" customHeight="1" spans="1:32" x14ac:dyDescent="0.25">
      <c r="A590" s="179"/>
      <c r="B590" s="179"/>
      <c r="C590" s="179"/>
      <c r="D590" s="179"/>
      <c r="E590" s="179"/>
      <c r="F590" s="179"/>
      <c r="G590" s="179"/>
      <c r="H590" s="179"/>
      <c r="I590" s="181"/>
      <c r="J590" s="179"/>
      <c r="K590" s="179"/>
      <c r="L590" s="182"/>
      <c r="M590" s="182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32"/>
      <c r="Z590" s="179"/>
      <c r="AA590" s="179"/>
      <c r="AB590" s="179"/>
      <c r="AC590" s="179"/>
      <c r="AD590" s="132"/>
      <c r="AE590" s="179"/>
      <c r="AF590" s="179"/>
    </row>
    <row r="591" ht="12.75" customHeight="1" spans="1:32" x14ac:dyDescent="0.25">
      <c r="A591" s="179"/>
      <c r="B591" s="179"/>
      <c r="C591" s="179"/>
      <c r="D591" s="179"/>
      <c r="E591" s="179"/>
      <c r="F591" s="179"/>
      <c r="G591" s="179"/>
      <c r="H591" s="179"/>
      <c r="I591" s="181"/>
      <c r="J591" s="179"/>
      <c r="K591" s="179"/>
      <c r="L591" s="182"/>
      <c r="M591" s="182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32"/>
      <c r="Z591" s="179"/>
      <c r="AA591" s="179"/>
      <c r="AB591" s="179"/>
      <c r="AC591" s="179"/>
      <c r="AD591" s="132"/>
      <c r="AE591" s="179"/>
      <c r="AF591" s="179"/>
    </row>
    <row r="592" ht="12.75" customHeight="1" spans="1:32" x14ac:dyDescent="0.25">
      <c r="A592" s="179"/>
      <c r="B592" s="179"/>
      <c r="C592" s="179"/>
      <c r="D592" s="179"/>
      <c r="E592" s="179"/>
      <c r="F592" s="179"/>
      <c r="G592" s="179"/>
      <c r="H592" s="179"/>
      <c r="I592" s="181"/>
      <c r="J592" s="179"/>
      <c r="K592" s="179"/>
      <c r="L592" s="182"/>
      <c r="M592" s="182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32"/>
      <c r="Z592" s="179"/>
      <c r="AA592" s="179"/>
      <c r="AB592" s="179"/>
      <c r="AC592" s="179"/>
      <c r="AD592" s="132"/>
      <c r="AE592" s="179"/>
      <c r="AF592" s="179"/>
    </row>
    <row r="593" ht="12.75" customHeight="1" spans="1:32" x14ac:dyDescent="0.25">
      <c r="A593" s="179"/>
      <c r="B593" s="179"/>
      <c r="C593" s="179"/>
      <c r="D593" s="179"/>
      <c r="E593" s="179"/>
      <c r="F593" s="179"/>
      <c r="G593" s="179"/>
      <c r="H593" s="179"/>
      <c r="I593" s="181"/>
      <c r="J593" s="179"/>
      <c r="K593" s="179"/>
      <c r="L593" s="182"/>
      <c r="M593" s="182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32"/>
      <c r="Z593" s="179"/>
      <c r="AA593" s="179"/>
      <c r="AB593" s="179"/>
      <c r="AC593" s="179"/>
      <c r="AD593" s="132"/>
      <c r="AE593" s="179"/>
      <c r="AF593" s="179"/>
    </row>
    <row r="594" ht="12.75" customHeight="1" spans="1:32" x14ac:dyDescent="0.25">
      <c r="A594" s="179"/>
      <c r="B594" s="179"/>
      <c r="C594" s="179"/>
      <c r="D594" s="179"/>
      <c r="E594" s="179"/>
      <c r="F594" s="179"/>
      <c r="G594" s="179"/>
      <c r="H594" s="179"/>
      <c r="I594" s="181"/>
      <c r="J594" s="179"/>
      <c r="K594" s="179"/>
      <c r="L594" s="182"/>
      <c r="M594" s="182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32"/>
      <c r="Z594" s="179"/>
      <c r="AA594" s="179"/>
      <c r="AB594" s="179"/>
      <c r="AC594" s="179"/>
      <c r="AD594" s="132"/>
      <c r="AE594" s="179"/>
      <c r="AF594" s="179"/>
    </row>
    <row r="595" ht="12.75" customHeight="1" spans="1:32" x14ac:dyDescent="0.25">
      <c r="A595" s="179"/>
      <c r="B595" s="179"/>
      <c r="C595" s="179"/>
      <c r="D595" s="179"/>
      <c r="E595" s="179"/>
      <c r="F595" s="179"/>
      <c r="G595" s="179"/>
      <c r="H595" s="179"/>
      <c r="I595" s="181"/>
      <c r="J595" s="179"/>
      <c r="K595" s="179"/>
      <c r="L595" s="182"/>
      <c r="M595" s="182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32"/>
      <c r="Z595" s="179"/>
      <c r="AA595" s="179"/>
      <c r="AB595" s="179"/>
      <c r="AC595" s="179"/>
      <c r="AD595" s="132"/>
      <c r="AE595" s="179"/>
      <c r="AF595" s="179"/>
    </row>
    <row r="596" ht="12.75" customHeight="1" spans="1:32" x14ac:dyDescent="0.25">
      <c r="A596" s="179"/>
      <c r="B596" s="179"/>
      <c r="C596" s="179"/>
      <c r="D596" s="179"/>
      <c r="E596" s="179"/>
      <c r="F596" s="179"/>
      <c r="G596" s="179"/>
      <c r="H596" s="179"/>
      <c r="I596" s="181"/>
      <c r="J596" s="179"/>
      <c r="K596" s="179"/>
      <c r="L596" s="182"/>
      <c r="M596" s="182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32"/>
      <c r="Z596" s="179"/>
      <c r="AA596" s="179"/>
      <c r="AB596" s="179"/>
      <c r="AC596" s="179"/>
      <c r="AD596" s="132"/>
      <c r="AE596" s="179"/>
      <c r="AF596" s="179"/>
    </row>
    <row r="597" ht="12.75" customHeight="1" spans="1:32" x14ac:dyDescent="0.25">
      <c r="A597" s="179"/>
      <c r="B597" s="179"/>
      <c r="C597" s="179"/>
      <c r="D597" s="179"/>
      <c r="E597" s="179"/>
      <c r="F597" s="179"/>
      <c r="G597" s="179"/>
      <c r="H597" s="179"/>
      <c r="I597" s="181"/>
      <c r="J597" s="179"/>
      <c r="K597" s="179"/>
      <c r="L597" s="182"/>
      <c r="M597" s="182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32"/>
      <c r="Z597" s="179"/>
      <c r="AA597" s="179"/>
      <c r="AB597" s="179"/>
      <c r="AC597" s="179"/>
      <c r="AD597" s="132"/>
      <c r="AE597" s="179"/>
      <c r="AF597" s="179"/>
    </row>
    <row r="598" ht="12.75" customHeight="1" spans="1:32" x14ac:dyDescent="0.25">
      <c r="A598" s="179"/>
      <c r="B598" s="179"/>
      <c r="C598" s="179"/>
      <c r="D598" s="179"/>
      <c r="E598" s="179"/>
      <c r="F598" s="179"/>
      <c r="G598" s="179"/>
      <c r="H598" s="179"/>
      <c r="I598" s="181"/>
      <c r="J598" s="179"/>
      <c r="K598" s="179"/>
      <c r="L598" s="182"/>
      <c r="M598" s="182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32"/>
      <c r="Z598" s="179"/>
      <c r="AA598" s="179"/>
      <c r="AB598" s="179"/>
      <c r="AC598" s="179"/>
      <c r="AD598" s="132"/>
      <c r="AE598" s="179"/>
      <c r="AF598" s="179"/>
    </row>
    <row r="599" ht="12.75" customHeight="1" spans="1:32" x14ac:dyDescent="0.25">
      <c r="A599" s="179"/>
      <c r="B599" s="179"/>
      <c r="C599" s="179"/>
      <c r="D599" s="179"/>
      <c r="E599" s="179"/>
      <c r="F599" s="179"/>
      <c r="G599" s="179"/>
      <c r="H599" s="179"/>
      <c r="I599" s="181"/>
      <c r="J599" s="179"/>
      <c r="K599" s="179"/>
      <c r="L599" s="182"/>
      <c r="M599" s="182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32"/>
      <c r="Z599" s="179"/>
      <c r="AA599" s="179"/>
      <c r="AB599" s="179"/>
      <c r="AC599" s="179"/>
      <c r="AD599" s="132"/>
      <c r="AE599" s="179"/>
      <c r="AF599" s="179"/>
    </row>
    <row r="600" ht="12.75" customHeight="1" spans="1:32" x14ac:dyDescent="0.25">
      <c r="A600" s="179"/>
      <c r="B600" s="179"/>
      <c r="C600" s="179"/>
      <c r="D600" s="179"/>
      <c r="E600" s="179"/>
      <c r="F600" s="179"/>
      <c r="G600" s="179"/>
      <c r="H600" s="179"/>
      <c r="I600" s="181"/>
      <c r="J600" s="179"/>
      <c r="K600" s="179"/>
      <c r="L600" s="182"/>
      <c r="M600" s="182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32"/>
      <c r="Z600" s="179"/>
      <c r="AA600" s="179"/>
      <c r="AB600" s="179"/>
      <c r="AC600" s="179"/>
      <c r="AD600" s="132"/>
      <c r="AE600" s="179"/>
      <c r="AF600" s="179"/>
    </row>
    <row r="601" ht="12.75" customHeight="1" spans="1:32" x14ac:dyDescent="0.25">
      <c r="A601" s="179"/>
      <c r="B601" s="179"/>
      <c r="C601" s="179"/>
      <c r="D601" s="179"/>
      <c r="E601" s="179"/>
      <c r="F601" s="179"/>
      <c r="G601" s="179"/>
      <c r="H601" s="179"/>
      <c r="I601" s="181"/>
      <c r="J601" s="179"/>
      <c r="K601" s="179"/>
      <c r="L601" s="182"/>
      <c r="M601" s="182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32"/>
      <c r="Z601" s="179"/>
      <c r="AA601" s="179"/>
      <c r="AB601" s="179"/>
      <c r="AC601" s="179"/>
      <c r="AD601" s="132"/>
      <c r="AE601" s="179"/>
      <c r="AF601" s="179"/>
    </row>
    <row r="602" ht="12.75" customHeight="1" spans="1:32" x14ac:dyDescent="0.25">
      <c r="A602" s="179"/>
      <c r="B602" s="179"/>
      <c r="C602" s="179"/>
      <c r="D602" s="179"/>
      <c r="E602" s="179"/>
      <c r="F602" s="179"/>
      <c r="G602" s="179"/>
      <c r="H602" s="179"/>
      <c r="I602" s="181"/>
      <c r="J602" s="179"/>
      <c r="K602" s="179"/>
      <c r="L602" s="182"/>
      <c r="M602" s="182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32"/>
      <c r="Z602" s="179"/>
      <c r="AA602" s="179"/>
      <c r="AB602" s="179"/>
      <c r="AC602" s="179"/>
      <c r="AD602" s="132"/>
      <c r="AE602" s="179"/>
      <c r="AF602" s="179"/>
    </row>
    <row r="603" ht="12.75" customHeight="1" spans="1:32" x14ac:dyDescent="0.25">
      <c r="A603" s="179"/>
      <c r="B603" s="179"/>
      <c r="C603" s="179"/>
      <c r="D603" s="179"/>
      <c r="E603" s="179"/>
      <c r="F603" s="179"/>
      <c r="G603" s="179"/>
      <c r="H603" s="179"/>
      <c r="I603" s="181"/>
      <c r="J603" s="179"/>
      <c r="K603" s="179"/>
      <c r="L603" s="182"/>
      <c r="M603" s="182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32"/>
      <c r="Z603" s="179"/>
      <c r="AA603" s="179"/>
      <c r="AB603" s="179"/>
      <c r="AC603" s="179"/>
      <c r="AD603" s="132"/>
      <c r="AE603" s="179"/>
      <c r="AF603" s="179"/>
    </row>
    <row r="604" ht="12.75" customHeight="1" spans="1:32" x14ac:dyDescent="0.25">
      <c r="A604" s="179"/>
      <c r="B604" s="179"/>
      <c r="C604" s="179"/>
      <c r="D604" s="179"/>
      <c r="E604" s="179"/>
      <c r="F604" s="179"/>
      <c r="G604" s="179"/>
      <c r="H604" s="179"/>
      <c r="I604" s="181"/>
      <c r="J604" s="179"/>
      <c r="K604" s="179"/>
      <c r="L604" s="182"/>
      <c r="M604" s="182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32"/>
      <c r="Z604" s="179"/>
      <c r="AA604" s="179"/>
      <c r="AB604" s="179"/>
      <c r="AC604" s="179"/>
      <c r="AD604" s="132"/>
      <c r="AE604" s="179"/>
      <c r="AF604" s="179"/>
    </row>
    <row r="605" ht="12.75" customHeight="1" spans="1:32" x14ac:dyDescent="0.25">
      <c r="A605" s="179"/>
      <c r="B605" s="179"/>
      <c r="C605" s="179"/>
      <c r="D605" s="179"/>
      <c r="E605" s="179"/>
      <c r="F605" s="179"/>
      <c r="G605" s="179"/>
      <c r="H605" s="179"/>
      <c r="I605" s="181"/>
      <c r="J605" s="179"/>
      <c r="K605" s="179"/>
      <c r="L605" s="182"/>
      <c r="M605" s="182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32"/>
      <c r="Z605" s="179"/>
      <c r="AA605" s="179"/>
      <c r="AB605" s="179"/>
      <c r="AC605" s="179"/>
      <c r="AD605" s="132"/>
      <c r="AE605" s="179"/>
      <c r="AF605" s="179"/>
    </row>
    <row r="606" ht="12.75" customHeight="1" spans="1:32" x14ac:dyDescent="0.25">
      <c r="A606" s="179"/>
      <c r="B606" s="179"/>
      <c r="C606" s="179"/>
      <c r="D606" s="179"/>
      <c r="E606" s="179"/>
      <c r="F606" s="179"/>
      <c r="G606" s="179"/>
      <c r="H606" s="179"/>
      <c r="I606" s="181"/>
      <c r="J606" s="179"/>
      <c r="K606" s="179"/>
      <c r="L606" s="182"/>
      <c r="M606" s="182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32"/>
      <c r="Z606" s="179"/>
      <c r="AA606" s="179"/>
      <c r="AB606" s="179"/>
      <c r="AC606" s="179"/>
      <c r="AD606" s="132"/>
      <c r="AE606" s="179"/>
      <c r="AF606" s="179"/>
    </row>
    <row r="607" ht="12.75" customHeight="1" spans="1:32" x14ac:dyDescent="0.25">
      <c r="A607" s="179"/>
      <c r="B607" s="179"/>
      <c r="C607" s="179"/>
      <c r="D607" s="179"/>
      <c r="E607" s="179"/>
      <c r="F607" s="179"/>
      <c r="G607" s="179"/>
      <c r="H607" s="179"/>
      <c r="I607" s="181"/>
      <c r="J607" s="179"/>
      <c r="K607" s="179"/>
      <c r="L607" s="182"/>
      <c r="M607" s="182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32"/>
      <c r="Z607" s="179"/>
      <c r="AA607" s="179"/>
      <c r="AB607" s="179"/>
      <c r="AC607" s="179"/>
      <c r="AD607" s="132"/>
      <c r="AE607" s="179"/>
      <c r="AF607" s="179"/>
    </row>
    <row r="608" ht="12.75" customHeight="1" spans="1:32" x14ac:dyDescent="0.25">
      <c r="A608" s="179"/>
      <c r="B608" s="179"/>
      <c r="C608" s="179"/>
      <c r="D608" s="179"/>
      <c r="E608" s="179"/>
      <c r="F608" s="179"/>
      <c r="G608" s="179"/>
      <c r="H608" s="179"/>
      <c r="I608" s="181"/>
      <c r="J608" s="179"/>
      <c r="K608" s="179"/>
      <c r="L608" s="182"/>
      <c r="M608" s="182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32"/>
      <c r="Z608" s="179"/>
      <c r="AA608" s="179"/>
      <c r="AB608" s="179"/>
      <c r="AC608" s="179"/>
      <c r="AD608" s="132"/>
      <c r="AE608" s="179"/>
      <c r="AF608" s="179"/>
    </row>
    <row r="609" ht="12.75" customHeight="1" spans="1:32" x14ac:dyDescent="0.25">
      <c r="A609" s="179"/>
      <c r="B609" s="179"/>
      <c r="C609" s="179"/>
      <c r="D609" s="179"/>
      <c r="E609" s="179"/>
      <c r="F609" s="179"/>
      <c r="G609" s="179"/>
      <c r="H609" s="179"/>
      <c r="I609" s="181"/>
      <c r="J609" s="179"/>
      <c r="K609" s="179"/>
      <c r="L609" s="182"/>
      <c r="M609" s="182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32"/>
      <c r="Z609" s="179"/>
      <c r="AA609" s="179"/>
      <c r="AB609" s="179"/>
      <c r="AC609" s="179"/>
      <c r="AD609" s="132"/>
      <c r="AE609" s="179"/>
      <c r="AF609" s="179"/>
    </row>
    <row r="610" ht="12.75" customHeight="1" spans="1:32" x14ac:dyDescent="0.25">
      <c r="A610" s="179"/>
      <c r="B610" s="179"/>
      <c r="C610" s="179"/>
      <c r="D610" s="179"/>
      <c r="E610" s="179"/>
      <c r="F610" s="179"/>
      <c r="G610" s="179"/>
      <c r="H610" s="179"/>
      <c r="I610" s="181"/>
      <c r="J610" s="179"/>
      <c r="K610" s="179"/>
      <c r="L610" s="182"/>
      <c r="M610" s="182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32"/>
      <c r="Z610" s="179"/>
      <c r="AA610" s="179"/>
      <c r="AB610" s="179"/>
      <c r="AC610" s="179"/>
      <c r="AD610" s="132"/>
      <c r="AE610" s="179"/>
      <c r="AF610" s="179"/>
    </row>
    <row r="611" ht="12.75" customHeight="1" spans="1:32" x14ac:dyDescent="0.25">
      <c r="A611" s="179"/>
      <c r="B611" s="179"/>
      <c r="C611" s="179"/>
      <c r="D611" s="179"/>
      <c r="E611" s="179"/>
      <c r="F611" s="179"/>
      <c r="G611" s="179"/>
      <c r="H611" s="179"/>
      <c r="I611" s="181"/>
      <c r="J611" s="179"/>
      <c r="K611" s="179"/>
      <c r="L611" s="182"/>
      <c r="M611" s="182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32"/>
      <c r="Z611" s="179"/>
      <c r="AA611" s="179"/>
      <c r="AB611" s="179"/>
      <c r="AC611" s="179"/>
      <c r="AD611" s="132"/>
      <c r="AE611" s="179"/>
      <c r="AF611" s="179"/>
    </row>
    <row r="612" ht="12.75" customHeight="1" spans="1:32" x14ac:dyDescent="0.25">
      <c r="A612" s="179"/>
      <c r="B612" s="179"/>
      <c r="C612" s="179"/>
      <c r="D612" s="179"/>
      <c r="E612" s="179"/>
      <c r="F612" s="179"/>
      <c r="G612" s="179"/>
      <c r="H612" s="179"/>
      <c r="I612" s="181"/>
      <c r="J612" s="179"/>
      <c r="K612" s="179"/>
      <c r="L612" s="182"/>
      <c r="M612" s="182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32"/>
      <c r="Z612" s="179"/>
      <c r="AA612" s="179"/>
      <c r="AB612" s="179"/>
      <c r="AC612" s="179"/>
      <c r="AD612" s="132"/>
      <c r="AE612" s="179"/>
      <c r="AF612" s="179"/>
    </row>
    <row r="613" ht="12.75" customHeight="1" spans="1:32" x14ac:dyDescent="0.25">
      <c r="A613" s="179"/>
      <c r="B613" s="179"/>
      <c r="C613" s="179"/>
      <c r="D613" s="179"/>
      <c r="E613" s="179"/>
      <c r="F613" s="179"/>
      <c r="G613" s="179"/>
      <c r="H613" s="179"/>
      <c r="I613" s="181"/>
      <c r="J613" s="179"/>
      <c r="K613" s="179"/>
      <c r="L613" s="182"/>
      <c r="M613" s="182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32"/>
      <c r="Z613" s="179"/>
      <c r="AA613" s="179"/>
      <c r="AB613" s="179"/>
      <c r="AC613" s="179"/>
      <c r="AD613" s="132"/>
      <c r="AE613" s="179"/>
      <c r="AF613" s="179"/>
    </row>
    <row r="614" ht="12.75" customHeight="1" spans="1:32" x14ac:dyDescent="0.25">
      <c r="A614" s="179"/>
      <c r="B614" s="179"/>
      <c r="C614" s="179"/>
      <c r="D614" s="179"/>
      <c r="E614" s="179"/>
      <c r="F614" s="179"/>
      <c r="G614" s="179"/>
      <c r="H614" s="179"/>
      <c r="I614" s="181"/>
      <c r="J614" s="179"/>
      <c r="K614" s="179"/>
      <c r="L614" s="182"/>
      <c r="M614" s="182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32"/>
      <c r="Z614" s="179"/>
      <c r="AA614" s="179"/>
      <c r="AB614" s="179"/>
      <c r="AC614" s="179"/>
      <c r="AD614" s="132"/>
      <c r="AE614" s="179"/>
      <c r="AF614" s="179"/>
    </row>
    <row r="615" ht="12.75" customHeight="1" spans="1:32" x14ac:dyDescent="0.25">
      <c r="A615" s="179"/>
      <c r="B615" s="179"/>
      <c r="C615" s="179"/>
      <c r="D615" s="179"/>
      <c r="E615" s="179"/>
      <c r="F615" s="179"/>
      <c r="G615" s="179"/>
      <c r="H615" s="179"/>
      <c r="I615" s="181"/>
      <c r="J615" s="179"/>
      <c r="K615" s="179"/>
      <c r="L615" s="182"/>
      <c r="M615" s="182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32"/>
      <c r="Z615" s="179"/>
      <c r="AA615" s="179"/>
      <c r="AB615" s="179"/>
      <c r="AC615" s="179"/>
      <c r="AD615" s="132"/>
      <c r="AE615" s="179"/>
      <c r="AF615" s="179"/>
    </row>
    <row r="616" ht="12.75" customHeight="1" spans="1:32" x14ac:dyDescent="0.25">
      <c r="A616" s="179"/>
      <c r="B616" s="179"/>
      <c r="C616" s="179"/>
      <c r="D616" s="179"/>
      <c r="E616" s="179"/>
      <c r="F616" s="179"/>
      <c r="G616" s="179"/>
      <c r="H616" s="179"/>
      <c r="I616" s="181"/>
      <c r="J616" s="179"/>
      <c r="K616" s="179"/>
      <c r="L616" s="182"/>
      <c r="M616" s="182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32"/>
      <c r="Z616" s="179"/>
      <c r="AA616" s="179"/>
      <c r="AB616" s="179"/>
      <c r="AC616" s="179"/>
      <c r="AD616" s="132"/>
      <c r="AE616" s="179"/>
      <c r="AF616" s="179"/>
    </row>
    <row r="617" ht="12.75" customHeight="1" spans="1:32" x14ac:dyDescent="0.25">
      <c r="A617" s="179"/>
      <c r="B617" s="179"/>
      <c r="C617" s="179"/>
      <c r="D617" s="179"/>
      <c r="E617" s="179"/>
      <c r="F617" s="179"/>
      <c r="G617" s="179"/>
      <c r="H617" s="179"/>
      <c r="I617" s="181"/>
      <c r="J617" s="179"/>
      <c r="K617" s="179"/>
      <c r="L617" s="182"/>
      <c r="M617" s="182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32"/>
      <c r="Z617" s="179"/>
      <c r="AA617" s="179"/>
      <c r="AB617" s="179"/>
      <c r="AC617" s="179"/>
      <c r="AD617" s="132"/>
      <c r="AE617" s="179"/>
      <c r="AF617" s="179"/>
    </row>
    <row r="618" ht="12.75" customHeight="1" spans="1:32" x14ac:dyDescent="0.25">
      <c r="A618" s="179"/>
      <c r="B618" s="179"/>
      <c r="C618" s="179"/>
      <c r="D618" s="179"/>
      <c r="E618" s="179"/>
      <c r="F618" s="179"/>
      <c r="G618" s="179"/>
      <c r="H618" s="179"/>
      <c r="I618" s="181"/>
      <c r="J618" s="179"/>
      <c r="K618" s="179"/>
      <c r="L618" s="182"/>
      <c r="M618" s="182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32"/>
      <c r="Z618" s="179"/>
      <c r="AA618" s="179"/>
      <c r="AB618" s="179"/>
      <c r="AC618" s="179"/>
      <c r="AD618" s="132"/>
      <c r="AE618" s="179"/>
      <c r="AF618" s="179"/>
    </row>
    <row r="619" ht="12.75" customHeight="1" spans="1:32" x14ac:dyDescent="0.25">
      <c r="A619" s="179"/>
      <c r="B619" s="179"/>
      <c r="C619" s="179"/>
      <c r="D619" s="179"/>
      <c r="E619" s="179"/>
      <c r="F619" s="179"/>
      <c r="G619" s="179"/>
      <c r="H619" s="179"/>
      <c r="I619" s="181"/>
      <c r="J619" s="179"/>
      <c r="K619" s="179"/>
      <c r="L619" s="182"/>
      <c r="M619" s="182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32"/>
      <c r="Z619" s="179"/>
      <c r="AA619" s="179"/>
      <c r="AB619" s="179"/>
      <c r="AC619" s="179"/>
      <c r="AD619" s="132"/>
      <c r="AE619" s="179"/>
      <c r="AF619" s="179"/>
    </row>
    <row r="620" ht="12.75" customHeight="1" spans="1:32" x14ac:dyDescent="0.25">
      <c r="A620" s="179"/>
      <c r="B620" s="179"/>
      <c r="C620" s="179"/>
      <c r="D620" s="179"/>
      <c r="E620" s="179"/>
      <c r="F620" s="179"/>
      <c r="G620" s="179"/>
      <c r="H620" s="179"/>
      <c r="I620" s="181"/>
      <c r="J620" s="179"/>
      <c r="K620" s="179"/>
      <c r="L620" s="182"/>
      <c r="M620" s="182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32"/>
      <c r="Z620" s="179"/>
      <c r="AA620" s="179"/>
      <c r="AB620" s="179"/>
      <c r="AC620" s="179"/>
      <c r="AD620" s="132"/>
      <c r="AE620" s="179"/>
      <c r="AF620" s="179"/>
    </row>
    <row r="621" ht="12.75" customHeight="1" spans="1:32" x14ac:dyDescent="0.25">
      <c r="A621" s="179"/>
      <c r="B621" s="179"/>
      <c r="C621" s="179"/>
      <c r="D621" s="179"/>
      <c r="E621" s="179"/>
      <c r="F621" s="179"/>
      <c r="G621" s="179"/>
      <c r="H621" s="179"/>
      <c r="I621" s="181"/>
      <c r="J621" s="179"/>
      <c r="K621" s="179"/>
      <c r="L621" s="182"/>
      <c r="M621" s="182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32"/>
      <c r="Z621" s="179"/>
      <c r="AA621" s="179"/>
      <c r="AB621" s="179"/>
      <c r="AC621" s="179"/>
      <c r="AD621" s="132"/>
      <c r="AE621" s="179"/>
      <c r="AF621" s="179"/>
    </row>
    <row r="622" ht="12.75" customHeight="1" spans="1:32" x14ac:dyDescent="0.25">
      <c r="A622" s="179"/>
      <c r="B622" s="179"/>
      <c r="C622" s="179"/>
      <c r="D622" s="179"/>
      <c r="E622" s="179"/>
      <c r="F622" s="179"/>
      <c r="G622" s="179"/>
      <c r="H622" s="179"/>
      <c r="I622" s="181"/>
      <c r="J622" s="179"/>
      <c r="K622" s="179"/>
      <c r="L622" s="182"/>
      <c r="M622" s="182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32"/>
      <c r="Z622" s="179"/>
      <c r="AA622" s="179"/>
      <c r="AB622" s="179"/>
      <c r="AC622" s="179"/>
      <c r="AD622" s="132"/>
      <c r="AE622" s="179"/>
      <c r="AF622" s="179"/>
    </row>
    <row r="623" ht="12.75" customHeight="1" spans="1:32" x14ac:dyDescent="0.25">
      <c r="A623" s="179"/>
      <c r="B623" s="179"/>
      <c r="C623" s="179"/>
      <c r="D623" s="179"/>
      <c r="E623" s="179"/>
      <c r="F623" s="179"/>
      <c r="G623" s="179"/>
      <c r="H623" s="179"/>
      <c r="I623" s="181"/>
      <c r="J623" s="179"/>
      <c r="K623" s="179"/>
      <c r="L623" s="182"/>
      <c r="M623" s="182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32"/>
      <c r="Z623" s="179"/>
      <c r="AA623" s="179"/>
      <c r="AB623" s="179"/>
      <c r="AC623" s="179"/>
      <c r="AD623" s="132"/>
      <c r="AE623" s="179"/>
      <c r="AF623" s="179"/>
    </row>
    <row r="624" ht="12.75" customHeight="1" spans="1:32" x14ac:dyDescent="0.25">
      <c r="A624" s="179"/>
      <c r="B624" s="179"/>
      <c r="C624" s="179"/>
      <c r="D624" s="179"/>
      <c r="E624" s="179"/>
      <c r="F624" s="179"/>
      <c r="G624" s="179"/>
      <c r="H624" s="179"/>
      <c r="I624" s="181"/>
      <c r="J624" s="179"/>
      <c r="K624" s="179"/>
      <c r="L624" s="182"/>
      <c r="M624" s="182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32"/>
      <c r="Z624" s="179"/>
      <c r="AA624" s="179"/>
      <c r="AB624" s="179"/>
      <c r="AC624" s="179"/>
      <c r="AD624" s="132"/>
      <c r="AE624" s="179"/>
      <c r="AF624" s="179"/>
    </row>
    <row r="625" ht="12.75" customHeight="1" spans="1:32" x14ac:dyDescent="0.25">
      <c r="A625" s="179"/>
      <c r="B625" s="179"/>
      <c r="C625" s="179"/>
      <c r="D625" s="179"/>
      <c r="E625" s="179"/>
      <c r="F625" s="179"/>
      <c r="G625" s="179"/>
      <c r="H625" s="179"/>
      <c r="I625" s="181"/>
      <c r="J625" s="179"/>
      <c r="K625" s="179"/>
      <c r="L625" s="182"/>
      <c r="M625" s="182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32"/>
      <c r="Z625" s="179"/>
      <c r="AA625" s="179"/>
      <c r="AB625" s="179"/>
      <c r="AC625" s="179"/>
      <c r="AD625" s="132"/>
      <c r="AE625" s="179"/>
      <c r="AF625" s="179"/>
    </row>
    <row r="626" ht="12.75" customHeight="1" spans="1:32" x14ac:dyDescent="0.25">
      <c r="A626" s="179"/>
      <c r="B626" s="179"/>
      <c r="C626" s="179"/>
      <c r="D626" s="179"/>
      <c r="E626" s="179"/>
      <c r="F626" s="179"/>
      <c r="G626" s="179"/>
      <c r="H626" s="179"/>
      <c r="I626" s="181"/>
      <c r="J626" s="179"/>
      <c r="K626" s="179"/>
      <c r="L626" s="182"/>
      <c r="M626" s="182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32"/>
      <c r="Z626" s="179"/>
      <c r="AA626" s="179"/>
      <c r="AB626" s="179"/>
      <c r="AC626" s="179"/>
      <c r="AD626" s="132"/>
      <c r="AE626" s="179"/>
      <c r="AF626" s="179"/>
    </row>
    <row r="627" ht="12.75" customHeight="1" spans="1:32" x14ac:dyDescent="0.25">
      <c r="A627" s="179"/>
      <c r="B627" s="179"/>
      <c r="C627" s="179"/>
      <c r="D627" s="179"/>
      <c r="E627" s="179"/>
      <c r="F627" s="179"/>
      <c r="G627" s="179"/>
      <c r="H627" s="179"/>
      <c r="I627" s="181"/>
      <c r="J627" s="179"/>
      <c r="K627" s="179"/>
      <c r="L627" s="182"/>
      <c r="M627" s="182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32"/>
      <c r="Z627" s="179"/>
      <c r="AA627" s="179"/>
      <c r="AB627" s="179"/>
      <c r="AC627" s="179"/>
      <c r="AD627" s="132"/>
      <c r="AE627" s="179"/>
      <c r="AF627" s="179"/>
    </row>
    <row r="628" ht="12.75" customHeight="1" spans="1:32" x14ac:dyDescent="0.25">
      <c r="A628" s="179"/>
      <c r="B628" s="179"/>
      <c r="C628" s="179"/>
      <c r="D628" s="179"/>
      <c r="E628" s="179"/>
      <c r="F628" s="179"/>
      <c r="G628" s="179"/>
      <c r="H628" s="179"/>
      <c r="I628" s="181"/>
      <c r="J628" s="179"/>
      <c r="K628" s="179"/>
      <c r="L628" s="182"/>
      <c r="M628" s="182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32"/>
      <c r="Z628" s="179"/>
      <c r="AA628" s="179"/>
      <c r="AB628" s="179"/>
      <c r="AC628" s="179"/>
      <c r="AD628" s="132"/>
      <c r="AE628" s="179"/>
      <c r="AF628" s="179"/>
    </row>
    <row r="629" ht="12.75" customHeight="1" spans="1:32" x14ac:dyDescent="0.25">
      <c r="A629" s="179"/>
      <c r="B629" s="179"/>
      <c r="C629" s="179"/>
      <c r="D629" s="179"/>
      <c r="E629" s="179"/>
      <c r="F629" s="179"/>
      <c r="G629" s="179"/>
      <c r="H629" s="179"/>
      <c r="I629" s="181"/>
      <c r="J629" s="179"/>
      <c r="K629" s="179"/>
      <c r="L629" s="182"/>
      <c r="M629" s="182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32"/>
      <c r="Z629" s="179"/>
      <c r="AA629" s="179"/>
      <c r="AB629" s="179"/>
      <c r="AC629" s="179"/>
      <c r="AD629" s="132"/>
      <c r="AE629" s="179"/>
      <c r="AF629" s="179"/>
    </row>
    <row r="630" ht="12.75" customHeight="1" spans="1:32" x14ac:dyDescent="0.25">
      <c r="A630" s="179"/>
      <c r="B630" s="179"/>
      <c r="C630" s="179"/>
      <c r="D630" s="179"/>
      <c r="E630" s="179"/>
      <c r="F630" s="179"/>
      <c r="G630" s="179"/>
      <c r="H630" s="179"/>
      <c r="I630" s="181"/>
      <c r="J630" s="179"/>
      <c r="K630" s="179"/>
      <c r="L630" s="182"/>
      <c r="M630" s="182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32"/>
      <c r="Z630" s="179"/>
      <c r="AA630" s="179"/>
      <c r="AB630" s="179"/>
      <c r="AC630" s="179"/>
      <c r="AD630" s="132"/>
      <c r="AE630" s="179"/>
      <c r="AF630" s="179"/>
    </row>
    <row r="631" ht="12.75" customHeight="1" spans="1:32" x14ac:dyDescent="0.25">
      <c r="A631" s="179"/>
      <c r="B631" s="179"/>
      <c r="C631" s="179"/>
      <c r="D631" s="179"/>
      <c r="E631" s="179"/>
      <c r="F631" s="179"/>
      <c r="G631" s="179"/>
      <c r="H631" s="179"/>
      <c r="I631" s="181"/>
      <c r="J631" s="179"/>
      <c r="K631" s="179"/>
      <c r="L631" s="182"/>
      <c r="M631" s="182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32"/>
      <c r="Z631" s="179"/>
      <c r="AA631" s="179"/>
      <c r="AB631" s="179"/>
      <c r="AC631" s="179"/>
      <c r="AD631" s="132"/>
      <c r="AE631" s="179"/>
      <c r="AF631" s="179"/>
    </row>
    <row r="632" ht="12.75" customHeight="1" spans="1:32" x14ac:dyDescent="0.25">
      <c r="A632" s="179"/>
      <c r="B632" s="179"/>
      <c r="C632" s="179"/>
      <c r="D632" s="179"/>
      <c r="E632" s="179"/>
      <c r="F632" s="179"/>
      <c r="G632" s="179"/>
      <c r="H632" s="179"/>
      <c r="I632" s="181"/>
      <c r="J632" s="179"/>
      <c r="K632" s="179"/>
      <c r="L632" s="182"/>
      <c r="M632" s="182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32"/>
      <c r="Z632" s="179"/>
      <c r="AA632" s="179"/>
      <c r="AB632" s="179"/>
      <c r="AC632" s="179"/>
      <c r="AD632" s="132"/>
      <c r="AE632" s="179"/>
      <c r="AF632" s="179"/>
    </row>
    <row r="633" ht="12.75" customHeight="1" spans="1:32" x14ac:dyDescent="0.25">
      <c r="A633" s="179"/>
      <c r="B633" s="179"/>
      <c r="C633" s="179"/>
      <c r="D633" s="179"/>
      <c r="E633" s="179"/>
      <c r="F633" s="179"/>
      <c r="G633" s="179"/>
      <c r="H633" s="179"/>
      <c r="I633" s="181"/>
      <c r="J633" s="179"/>
      <c r="K633" s="179"/>
      <c r="L633" s="182"/>
      <c r="M633" s="182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32"/>
      <c r="Z633" s="179"/>
      <c r="AA633" s="179"/>
      <c r="AB633" s="179"/>
      <c r="AC633" s="179"/>
      <c r="AD633" s="132"/>
      <c r="AE633" s="179"/>
      <c r="AF633" s="179"/>
    </row>
    <row r="634" ht="12.75" customHeight="1" spans="1:32" x14ac:dyDescent="0.25">
      <c r="A634" s="179"/>
      <c r="B634" s="179"/>
      <c r="C634" s="179"/>
      <c r="D634" s="179"/>
      <c r="E634" s="179"/>
      <c r="F634" s="179"/>
      <c r="G634" s="179"/>
      <c r="H634" s="179"/>
      <c r="I634" s="181"/>
      <c r="J634" s="179"/>
      <c r="K634" s="179"/>
      <c r="L634" s="182"/>
      <c r="M634" s="182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32"/>
      <c r="Z634" s="179"/>
      <c r="AA634" s="179"/>
      <c r="AB634" s="179"/>
      <c r="AC634" s="179"/>
      <c r="AD634" s="132"/>
      <c r="AE634" s="179"/>
      <c r="AF634" s="179"/>
    </row>
    <row r="635" ht="12.75" customHeight="1" spans="1:32" x14ac:dyDescent="0.25">
      <c r="A635" s="179"/>
      <c r="B635" s="179"/>
      <c r="C635" s="179"/>
      <c r="D635" s="179"/>
      <c r="E635" s="179"/>
      <c r="F635" s="179"/>
      <c r="G635" s="179"/>
      <c r="H635" s="179"/>
      <c r="I635" s="181"/>
      <c r="J635" s="179"/>
      <c r="K635" s="179"/>
      <c r="L635" s="182"/>
      <c r="M635" s="182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32"/>
      <c r="Z635" s="179"/>
      <c r="AA635" s="179"/>
      <c r="AB635" s="179"/>
      <c r="AC635" s="179"/>
      <c r="AD635" s="132"/>
      <c r="AE635" s="179"/>
      <c r="AF635" s="179"/>
    </row>
    <row r="636" ht="12.75" customHeight="1" spans="1:32" x14ac:dyDescent="0.25">
      <c r="A636" s="179"/>
      <c r="B636" s="179"/>
      <c r="C636" s="179"/>
      <c r="D636" s="179"/>
      <c r="E636" s="179"/>
      <c r="F636" s="179"/>
      <c r="G636" s="179"/>
      <c r="H636" s="179"/>
      <c r="I636" s="181"/>
      <c r="J636" s="179"/>
      <c r="K636" s="179"/>
      <c r="L636" s="182"/>
      <c r="M636" s="182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32"/>
      <c r="Z636" s="179"/>
      <c r="AA636" s="179"/>
      <c r="AB636" s="179"/>
      <c r="AC636" s="179"/>
      <c r="AD636" s="132"/>
      <c r="AE636" s="179"/>
      <c r="AF636" s="179"/>
    </row>
    <row r="637" ht="12.75" customHeight="1" spans="1:32" x14ac:dyDescent="0.25">
      <c r="A637" s="179"/>
      <c r="B637" s="179"/>
      <c r="C637" s="179"/>
      <c r="D637" s="179"/>
      <c r="E637" s="179"/>
      <c r="F637" s="179"/>
      <c r="G637" s="179"/>
      <c r="H637" s="179"/>
      <c r="I637" s="181"/>
      <c r="J637" s="179"/>
      <c r="K637" s="179"/>
      <c r="L637" s="182"/>
      <c r="M637" s="182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32"/>
      <c r="Z637" s="179"/>
      <c r="AA637" s="179"/>
      <c r="AB637" s="179"/>
      <c r="AC637" s="179"/>
      <c r="AD637" s="132"/>
      <c r="AE637" s="179"/>
      <c r="AF637" s="179"/>
    </row>
    <row r="638" ht="12.75" customHeight="1" spans="1:32" x14ac:dyDescent="0.25">
      <c r="A638" s="179"/>
      <c r="B638" s="179"/>
      <c r="C638" s="179"/>
      <c r="D638" s="179"/>
      <c r="E638" s="179"/>
      <c r="F638" s="179"/>
      <c r="G638" s="179"/>
      <c r="H638" s="179"/>
      <c r="I638" s="181"/>
      <c r="J638" s="179"/>
      <c r="K638" s="179"/>
      <c r="L638" s="182"/>
      <c r="M638" s="182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32"/>
      <c r="Z638" s="179"/>
      <c r="AA638" s="179"/>
      <c r="AB638" s="179"/>
      <c r="AC638" s="179"/>
      <c r="AD638" s="132"/>
      <c r="AE638" s="179"/>
      <c r="AF638" s="179"/>
    </row>
    <row r="639" ht="12.75" customHeight="1" spans="1:32" x14ac:dyDescent="0.25">
      <c r="A639" s="179"/>
      <c r="B639" s="179"/>
      <c r="C639" s="179"/>
      <c r="D639" s="179"/>
      <c r="E639" s="179"/>
      <c r="F639" s="179"/>
      <c r="G639" s="179"/>
      <c r="H639" s="179"/>
      <c r="I639" s="181"/>
      <c r="J639" s="179"/>
      <c r="K639" s="179"/>
      <c r="L639" s="182"/>
      <c r="M639" s="182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32"/>
      <c r="Z639" s="179"/>
      <c r="AA639" s="179"/>
      <c r="AB639" s="179"/>
      <c r="AC639" s="179"/>
      <c r="AD639" s="132"/>
      <c r="AE639" s="179"/>
      <c r="AF639" s="179"/>
    </row>
    <row r="640" ht="12.75" customHeight="1" spans="1:32" x14ac:dyDescent="0.25">
      <c r="A640" s="179"/>
      <c r="B640" s="179"/>
      <c r="C640" s="179"/>
      <c r="D640" s="179"/>
      <c r="E640" s="179"/>
      <c r="F640" s="179"/>
      <c r="G640" s="179"/>
      <c r="H640" s="179"/>
      <c r="I640" s="181"/>
      <c r="J640" s="179"/>
      <c r="K640" s="179"/>
      <c r="L640" s="182"/>
      <c r="M640" s="182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32"/>
      <c r="Z640" s="179"/>
      <c r="AA640" s="179"/>
      <c r="AB640" s="179"/>
      <c r="AC640" s="179"/>
      <c r="AD640" s="132"/>
      <c r="AE640" s="179"/>
      <c r="AF640" s="179"/>
    </row>
    <row r="641" ht="12.75" customHeight="1" spans="1:32" x14ac:dyDescent="0.25">
      <c r="A641" s="179"/>
      <c r="B641" s="179"/>
      <c r="C641" s="179"/>
      <c r="D641" s="179"/>
      <c r="E641" s="179"/>
      <c r="F641" s="179"/>
      <c r="G641" s="179"/>
      <c r="H641" s="179"/>
      <c r="I641" s="181"/>
      <c r="J641" s="179"/>
      <c r="K641" s="179"/>
      <c r="L641" s="182"/>
      <c r="M641" s="182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32"/>
      <c r="Z641" s="179"/>
      <c r="AA641" s="179"/>
      <c r="AB641" s="179"/>
      <c r="AC641" s="179"/>
      <c r="AD641" s="132"/>
      <c r="AE641" s="179"/>
      <c r="AF641" s="179"/>
    </row>
    <row r="642" ht="12.75" customHeight="1" spans="1:32" x14ac:dyDescent="0.25">
      <c r="A642" s="179"/>
      <c r="B642" s="179"/>
      <c r="C642" s="179"/>
      <c r="D642" s="179"/>
      <c r="E642" s="179"/>
      <c r="F642" s="179"/>
      <c r="G642" s="179"/>
      <c r="H642" s="179"/>
      <c r="I642" s="181"/>
      <c r="J642" s="179"/>
      <c r="K642" s="179"/>
      <c r="L642" s="182"/>
      <c r="M642" s="182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32"/>
      <c r="Z642" s="179"/>
      <c r="AA642" s="179"/>
      <c r="AB642" s="179"/>
      <c r="AC642" s="179"/>
      <c r="AD642" s="132"/>
      <c r="AE642" s="179"/>
      <c r="AF642" s="179"/>
    </row>
    <row r="643" ht="12.75" customHeight="1" spans="1:32" x14ac:dyDescent="0.25">
      <c r="A643" s="179"/>
      <c r="B643" s="179"/>
      <c r="C643" s="179"/>
      <c r="D643" s="179"/>
      <c r="E643" s="179"/>
      <c r="F643" s="179"/>
      <c r="G643" s="179"/>
      <c r="H643" s="179"/>
      <c r="I643" s="181"/>
      <c r="J643" s="179"/>
      <c r="K643" s="179"/>
      <c r="L643" s="182"/>
      <c r="M643" s="182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32"/>
      <c r="Z643" s="179"/>
      <c r="AA643" s="179"/>
      <c r="AB643" s="179"/>
      <c r="AC643" s="179"/>
      <c r="AD643" s="132"/>
      <c r="AE643" s="179"/>
      <c r="AF643" s="179"/>
    </row>
    <row r="644" ht="12.75" customHeight="1" spans="1:32" x14ac:dyDescent="0.25">
      <c r="A644" s="179"/>
      <c r="B644" s="179"/>
      <c r="C644" s="179"/>
      <c r="D644" s="179"/>
      <c r="E644" s="179"/>
      <c r="F644" s="179"/>
      <c r="G644" s="179"/>
      <c r="H644" s="179"/>
      <c r="I644" s="181"/>
      <c r="J644" s="179"/>
      <c r="K644" s="179"/>
      <c r="L644" s="182"/>
      <c r="M644" s="182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32"/>
      <c r="Z644" s="179"/>
      <c r="AA644" s="179"/>
      <c r="AB644" s="179"/>
      <c r="AC644" s="179"/>
      <c r="AD644" s="132"/>
      <c r="AE644" s="179"/>
      <c r="AF644" s="179"/>
    </row>
    <row r="645" ht="12.75" customHeight="1" spans="1:32" x14ac:dyDescent="0.25">
      <c r="A645" s="179"/>
      <c r="B645" s="179"/>
      <c r="C645" s="179"/>
      <c r="D645" s="179"/>
      <c r="E645" s="179"/>
      <c r="F645" s="179"/>
      <c r="G645" s="179"/>
      <c r="H645" s="179"/>
      <c r="I645" s="181"/>
      <c r="J645" s="179"/>
      <c r="K645" s="179"/>
      <c r="L645" s="182"/>
      <c r="M645" s="182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32"/>
      <c r="Z645" s="179"/>
      <c r="AA645" s="179"/>
      <c r="AB645" s="179"/>
      <c r="AC645" s="179"/>
      <c r="AD645" s="132"/>
      <c r="AE645" s="179"/>
      <c r="AF645" s="179"/>
    </row>
    <row r="646" ht="12.75" customHeight="1" spans="1:32" x14ac:dyDescent="0.25">
      <c r="A646" s="179"/>
      <c r="B646" s="179"/>
      <c r="C646" s="179"/>
      <c r="D646" s="179"/>
      <c r="E646" s="179"/>
      <c r="F646" s="179"/>
      <c r="G646" s="179"/>
      <c r="H646" s="179"/>
      <c r="I646" s="181"/>
      <c r="J646" s="179"/>
      <c r="K646" s="179"/>
      <c r="L646" s="182"/>
      <c r="M646" s="182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32"/>
      <c r="Z646" s="179"/>
      <c r="AA646" s="179"/>
      <c r="AB646" s="179"/>
      <c r="AC646" s="179"/>
      <c r="AD646" s="132"/>
      <c r="AE646" s="179"/>
      <c r="AF646" s="179"/>
    </row>
    <row r="647" ht="12.75" customHeight="1" spans="1:32" x14ac:dyDescent="0.25">
      <c r="A647" s="179"/>
      <c r="B647" s="179"/>
      <c r="C647" s="179"/>
      <c r="D647" s="179"/>
      <c r="E647" s="179"/>
      <c r="F647" s="179"/>
      <c r="G647" s="179"/>
      <c r="H647" s="179"/>
      <c r="I647" s="181"/>
      <c r="J647" s="179"/>
      <c r="K647" s="179"/>
      <c r="L647" s="182"/>
      <c r="M647" s="182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32"/>
      <c r="Z647" s="179"/>
      <c r="AA647" s="179"/>
      <c r="AB647" s="179"/>
      <c r="AC647" s="179"/>
      <c r="AD647" s="132"/>
      <c r="AE647" s="179"/>
      <c r="AF647" s="179"/>
    </row>
    <row r="648" ht="12.75" customHeight="1" spans="1:32" x14ac:dyDescent="0.25">
      <c r="A648" s="179"/>
      <c r="B648" s="179"/>
      <c r="C648" s="179"/>
      <c r="D648" s="179"/>
      <c r="E648" s="179"/>
      <c r="F648" s="179"/>
      <c r="G648" s="179"/>
      <c r="H648" s="179"/>
      <c r="I648" s="181"/>
      <c r="J648" s="179"/>
      <c r="K648" s="179"/>
      <c r="L648" s="182"/>
      <c r="M648" s="182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32"/>
      <c r="Z648" s="179"/>
      <c r="AA648" s="179"/>
      <c r="AB648" s="179"/>
      <c r="AC648" s="179"/>
      <c r="AD648" s="132"/>
      <c r="AE648" s="179"/>
      <c r="AF648" s="179"/>
    </row>
    <row r="649" ht="12.75" customHeight="1" spans="1:32" x14ac:dyDescent="0.25">
      <c r="A649" s="179"/>
      <c r="B649" s="179"/>
      <c r="C649" s="179"/>
      <c r="D649" s="179"/>
      <c r="E649" s="179"/>
      <c r="F649" s="179"/>
      <c r="G649" s="179"/>
      <c r="H649" s="179"/>
      <c r="I649" s="181"/>
      <c r="J649" s="179"/>
      <c r="K649" s="179"/>
      <c r="L649" s="182"/>
      <c r="M649" s="182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32"/>
      <c r="Z649" s="179"/>
      <c r="AA649" s="179"/>
      <c r="AB649" s="179"/>
      <c r="AC649" s="179"/>
      <c r="AD649" s="132"/>
      <c r="AE649" s="179"/>
      <c r="AF649" s="179"/>
    </row>
    <row r="650" ht="12.75" customHeight="1" spans="1:32" x14ac:dyDescent="0.25">
      <c r="A650" s="179"/>
      <c r="B650" s="179"/>
      <c r="C650" s="179"/>
      <c r="D650" s="179"/>
      <c r="E650" s="179"/>
      <c r="F650" s="179"/>
      <c r="G650" s="179"/>
      <c r="H650" s="179"/>
      <c r="I650" s="181"/>
      <c r="J650" s="179"/>
      <c r="K650" s="179"/>
      <c r="L650" s="182"/>
      <c r="M650" s="182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32"/>
      <c r="Z650" s="179"/>
      <c r="AA650" s="179"/>
      <c r="AB650" s="179"/>
      <c r="AC650" s="179"/>
      <c r="AD650" s="132"/>
      <c r="AE650" s="179"/>
      <c r="AF650" s="179"/>
    </row>
    <row r="651" ht="12.75" customHeight="1" spans="1:32" x14ac:dyDescent="0.25">
      <c r="A651" s="179"/>
      <c r="B651" s="179"/>
      <c r="C651" s="179"/>
      <c r="D651" s="179"/>
      <c r="E651" s="179"/>
      <c r="F651" s="179"/>
      <c r="G651" s="179"/>
      <c r="H651" s="179"/>
      <c r="I651" s="181"/>
      <c r="J651" s="179"/>
      <c r="K651" s="179"/>
      <c r="L651" s="182"/>
      <c r="M651" s="182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32"/>
      <c r="Z651" s="179"/>
      <c r="AA651" s="179"/>
      <c r="AB651" s="179"/>
      <c r="AC651" s="179"/>
      <c r="AD651" s="132"/>
      <c r="AE651" s="179"/>
      <c r="AF651" s="179"/>
    </row>
    <row r="652" ht="12.75" customHeight="1" spans="1:32" x14ac:dyDescent="0.25">
      <c r="A652" s="179"/>
      <c r="B652" s="179"/>
      <c r="C652" s="179"/>
      <c r="D652" s="179"/>
      <c r="E652" s="179"/>
      <c r="F652" s="179"/>
      <c r="G652" s="179"/>
      <c r="H652" s="179"/>
      <c r="I652" s="181"/>
      <c r="J652" s="179"/>
      <c r="K652" s="179"/>
      <c r="L652" s="182"/>
      <c r="M652" s="182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32"/>
      <c r="Z652" s="179"/>
      <c r="AA652" s="179"/>
      <c r="AB652" s="179"/>
      <c r="AC652" s="179"/>
      <c r="AD652" s="132"/>
      <c r="AE652" s="179"/>
      <c r="AF652" s="179"/>
    </row>
    <row r="653" ht="12.75" customHeight="1" spans="1:32" x14ac:dyDescent="0.25">
      <c r="A653" s="179"/>
      <c r="B653" s="179"/>
      <c r="C653" s="179"/>
      <c r="D653" s="179"/>
      <c r="E653" s="179"/>
      <c r="F653" s="179"/>
      <c r="G653" s="179"/>
      <c r="H653" s="179"/>
      <c r="I653" s="181"/>
      <c r="J653" s="179"/>
      <c r="K653" s="179"/>
      <c r="L653" s="182"/>
      <c r="M653" s="182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32"/>
      <c r="Z653" s="179"/>
      <c r="AA653" s="179"/>
      <c r="AB653" s="179"/>
      <c r="AC653" s="179"/>
      <c r="AD653" s="132"/>
      <c r="AE653" s="179"/>
      <c r="AF653" s="179"/>
    </row>
    <row r="654" ht="12.75" customHeight="1" spans="1:32" x14ac:dyDescent="0.25">
      <c r="A654" s="179"/>
      <c r="B654" s="179"/>
      <c r="C654" s="179"/>
      <c r="D654" s="179"/>
      <c r="E654" s="179"/>
      <c r="F654" s="179"/>
      <c r="G654" s="179"/>
      <c r="H654" s="179"/>
      <c r="I654" s="181"/>
      <c r="J654" s="179"/>
      <c r="K654" s="179"/>
      <c r="L654" s="182"/>
      <c r="M654" s="182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32"/>
      <c r="Z654" s="179"/>
      <c r="AA654" s="179"/>
      <c r="AB654" s="179"/>
      <c r="AC654" s="179"/>
      <c r="AD654" s="132"/>
      <c r="AE654" s="179"/>
      <c r="AF654" s="179"/>
    </row>
    <row r="655" ht="12.75" customHeight="1" spans="1:32" x14ac:dyDescent="0.25">
      <c r="A655" s="179"/>
      <c r="B655" s="179"/>
      <c r="C655" s="179"/>
      <c r="D655" s="179"/>
      <c r="E655" s="179"/>
      <c r="F655" s="179"/>
      <c r="G655" s="179"/>
      <c r="H655" s="179"/>
      <c r="I655" s="181"/>
      <c r="J655" s="179"/>
      <c r="K655" s="179"/>
      <c r="L655" s="182"/>
      <c r="M655" s="182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32"/>
      <c r="Z655" s="179"/>
      <c r="AA655" s="179"/>
      <c r="AB655" s="179"/>
      <c r="AC655" s="179"/>
      <c r="AD655" s="132"/>
      <c r="AE655" s="179"/>
      <c r="AF655" s="179"/>
    </row>
    <row r="656" ht="12.75" customHeight="1" spans="1:32" x14ac:dyDescent="0.25">
      <c r="A656" s="179"/>
      <c r="B656" s="179"/>
      <c r="C656" s="179"/>
      <c r="D656" s="179"/>
      <c r="E656" s="179"/>
      <c r="F656" s="179"/>
      <c r="G656" s="179"/>
      <c r="H656" s="179"/>
      <c r="I656" s="181"/>
      <c r="J656" s="179"/>
      <c r="K656" s="179"/>
      <c r="L656" s="182"/>
      <c r="M656" s="182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32"/>
      <c r="Z656" s="179"/>
      <c r="AA656" s="179"/>
      <c r="AB656" s="179"/>
      <c r="AC656" s="179"/>
      <c r="AD656" s="132"/>
      <c r="AE656" s="179"/>
      <c r="AF656" s="179"/>
    </row>
    <row r="657" ht="12.75" customHeight="1" spans="1:32" x14ac:dyDescent="0.25">
      <c r="A657" s="179"/>
      <c r="B657" s="179"/>
      <c r="C657" s="179"/>
      <c r="D657" s="179"/>
      <c r="E657" s="179"/>
      <c r="F657" s="179"/>
      <c r="G657" s="179"/>
      <c r="H657" s="179"/>
      <c r="I657" s="181"/>
      <c r="J657" s="179"/>
      <c r="K657" s="179"/>
      <c r="L657" s="182"/>
      <c r="M657" s="182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32"/>
      <c r="Z657" s="179"/>
      <c r="AA657" s="179"/>
      <c r="AB657" s="179"/>
      <c r="AC657" s="179"/>
      <c r="AD657" s="132"/>
      <c r="AE657" s="179"/>
      <c r="AF657" s="179"/>
    </row>
    <row r="658" ht="12.75" customHeight="1" spans="1:32" x14ac:dyDescent="0.25">
      <c r="A658" s="179"/>
      <c r="B658" s="179"/>
      <c r="C658" s="179"/>
      <c r="D658" s="179"/>
      <c r="E658" s="179"/>
      <c r="F658" s="179"/>
      <c r="G658" s="179"/>
      <c r="H658" s="179"/>
      <c r="I658" s="181"/>
      <c r="J658" s="179"/>
      <c r="K658" s="179"/>
      <c r="L658" s="182"/>
      <c r="M658" s="182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32"/>
      <c r="Z658" s="179"/>
      <c r="AA658" s="179"/>
      <c r="AB658" s="179"/>
      <c r="AC658" s="179"/>
      <c r="AD658" s="132"/>
      <c r="AE658" s="179"/>
      <c r="AF658" s="179"/>
    </row>
    <row r="659" ht="12.75" customHeight="1" spans="1:32" x14ac:dyDescent="0.25">
      <c r="A659" s="179"/>
      <c r="B659" s="179"/>
      <c r="C659" s="179"/>
      <c r="D659" s="179"/>
      <c r="E659" s="179"/>
      <c r="F659" s="179"/>
      <c r="G659" s="179"/>
      <c r="H659" s="179"/>
      <c r="I659" s="181"/>
      <c r="J659" s="179"/>
      <c r="K659" s="179"/>
      <c r="L659" s="182"/>
      <c r="M659" s="182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32"/>
      <c r="Z659" s="179"/>
      <c r="AA659" s="179"/>
      <c r="AB659" s="179"/>
      <c r="AC659" s="179"/>
      <c r="AD659" s="132"/>
      <c r="AE659" s="179"/>
      <c r="AF659" s="179"/>
    </row>
    <row r="660" ht="12.75" customHeight="1" spans="1:32" x14ac:dyDescent="0.25">
      <c r="A660" s="179"/>
      <c r="B660" s="179"/>
      <c r="C660" s="179"/>
      <c r="D660" s="179"/>
      <c r="E660" s="179"/>
      <c r="F660" s="179"/>
      <c r="G660" s="179"/>
      <c r="H660" s="179"/>
      <c r="I660" s="181"/>
      <c r="J660" s="179"/>
      <c r="K660" s="179"/>
      <c r="L660" s="182"/>
      <c r="M660" s="182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32"/>
      <c r="Z660" s="179"/>
      <c r="AA660" s="179"/>
      <c r="AB660" s="179"/>
      <c r="AC660" s="179"/>
      <c r="AD660" s="132"/>
      <c r="AE660" s="179"/>
      <c r="AF660" s="179"/>
    </row>
    <row r="661" ht="12.75" customHeight="1" spans="1:32" x14ac:dyDescent="0.25">
      <c r="A661" s="179"/>
      <c r="B661" s="179"/>
      <c r="C661" s="179"/>
      <c r="D661" s="179"/>
      <c r="E661" s="179"/>
      <c r="F661" s="179"/>
      <c r="G661" s="179"/>
      <c r="H661" s="179"/>
      <c r="I661" s="181"/>
      <c r="J661" s="179"/>
      <c r="K661" s="179"/>
      <c r="L661" s="182"/>
      <c r="M661" s="182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32"/>
      <c r="Z661" s="179"/>
      <c r="AA661" s="179"/>
      <c r="AB661" s="179"/>
      <c r="AC661" s="179"/>
      <c r="AD661" s="132"/>
      <c r="AE661" s="179"/>
      <c r="AF661" s="179"/>
    </row>
    <row r="662" ht="12.75" customHeight="1" spans="1:32" x14ac:dyDescent="0.25">
      <c r="A662" s="179"/>
      <c r="B662" s="179"/>
      <c r="C662" s="179"/>
      <c r="D662" s="179"/>
      <c r="E662" s="179"/>
      <c r="F662" s="179"/>
      <c r="G662" s="179"/>
      <c r="H662" s="179"/>
      <c r="I662" s="181"/>
      <c r="J662" s="179"/>
      <c r="K662" s="179"/>
      <c r="L662" s="182"/>
      <c r="M662" s="182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32"/>
      <c r="Z662" s="179"/>
      <c r="AA662" s="179"/>
      <c r="AB662" s="179"/>
      <c r="AC662" s="179"/>
      <c r="AD662" s="132"/>
      <c r="AE662" s="179"/>
      <c r="AF662" s="179"/>
    </row>
    <row r="663" ht="12.75" customHeight="1" spans="1:32" x14ac:dyDescent="0.25">
      <c r="A663" s="179"/>
      <c r="B663" s="179"/>
      <c r="C663" s="179"/>
      <c r="D663" s="179"/>
      <c r="E663" s="179"/>
      <c r="F663" s="179"/>
      <c r="G663" s="179"/>
      <c r="H663" s="179"/>
      <c r="I663" s="181"/>
      <c r="J663" s="179"/>
      <c r="K663" s="179"/>
      <c r="L663" s="182"/>
      <c r="M663" s="182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32"/>
      <c r="Z663" s="179"/>
      <c r="AA663" s="179"/>
      <c r="AB663" s="179"/>
      <c r="AC663" s="179"/>
      <c r="AD663" s="132"/>
      <c r="AE663" s="179"/>
      <c r="AF663" s="179"/>
    </row>
    <row r="664" ht="12.75" customHeight="1" spans="1:32" x14ac:dyDescent="0.25">
      <c r="A664" s="179"/>
      <c r="B664" s="179"/>
      <c r="C664" s="179"/>
      <c r="D664" s="179"/>
      <c r="E664" s="179"/>
      <c r="F664" s="179"/>
      <c r="G664" s="179"/>
      <c r="H664" s="179"/>
      <c r="I664" s="181"/>
      <c r="J664" s="179"/>
      <c r="K664" s="179"/>
      <c r="L664" s="182"/>
      <c r="M664" s="182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32"/>
      <c r="Z664" s="179"/>
      <c r="AA664" s="179"/>
      <c r="AB664" s="179"/>
      <c r="AC664" s="179"/>
      <c r="AD664" s="132"/>
      <c r="AE664" s="179"/>
      <c r="AF664" s="179"/>
    </row>
    <row r="665" ht="12.75" customHeight="1" spans="1:32" x14ac:dyDescent="0.25">
      <c r="A665" s="179"/>
      <c r="B665" s="179"/>
      <c r="C665" s="179"/>
      <c r="D665" s="179"/>
      <c r="E665" s="179"/>
      <c r="F665" s="179"/>
      <c r="G665" s="179"/>
      <c r="H665" s="179"/>
      <c r="I665" s="181"/>
      <c r="J665" s="179"/>
      <c r="K665" s="179"/>
      <c r="L665" s="182"/>
      <c r="M665" s="182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32"/>
      <c r="Z665" s="179"/>
      <c r="AA665" s="179"/>
      <c r="AB665" s="179"/>
      <c r="AC665" s="179"/>
      <c r="AD665" s="132"/>
      <c r="AE665" s="179"/>
      <c r="AF665" s="179"/>
    </row>
    <row r="666" ht="12.75" customHeight="1" spans="1:32" x14ac:dyDescent="0.25">
      <c r="A666" s="179"/>
      <c r="B666" s="179"/>
      <c r="C666" s="179"/>
      <c r="D666" s="179"/>
      <c r="E666" s="179"/>
      <c r="F666" s="179"/>
      <c r="G666" s="179"/>
      <c r="H666" s="179"/>
      <c r="I666" s="181"/>
      <c r="J666" s="179"/>
      <c r="K666" s="179"/>
      <c r="L666" s="182"/>
      <c r="M666" s="182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32"/>
      <c r="Z666" s="179"/>
      <c r="AA666" s="179"/>
      <c r="AB666" s="179"/>
      <c r="AC666" s="179"/>
      <c r="AD666" s="132"/>
      <c r="AE666" s="179"/>
      <c r="AF666" s="179"/>
    </row>
    <row r="667" ht="12.75" customHeight="1" spans="1:32" x14ac:dyDescent="0.25">
      <c r="A667" s="179"/>
      <c r="B667" s="179"/>
      <c r="C667" s="179"/>
      <c r="D667" s="179"/>
      <c r="E667" s="179"/>
      <c r="F667" s="179"/>
      <c r="G667" s="179"/>
      <c r="H667" s="179"/>
      <c r="I667" s="181"/>
      <c r="J667" s="179"/>
      <c r="K667" s="179"/>
      <c r="L667" s="182"/>
      <c r="M667" s="182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32"/>
      <c r="Z667" s="179"/>
      <c r="AA667" s="179"/>
      <c r="AB667" s="179"/>
      <c r="AC667" s="179"/>
      <c r="AD667" s="132"/>
      <c r="AE667" s="179"/>
      <c r="AF667" s="179"/>
    </row>
    <row r="668" ht="12.75" customHeight="1" spans="1:32" x14ac:dyDescent="0.25">
      <c r="A668" s="179"/>
      <c r="B668" s="179"/>
      <c r="C668" s="179"/>
      <c r="D668" s="179"/>
      <c r="E668" s="179"/>
      <c r="F668" s="179"/>
      <c r="G668" s="179"/>
      <c r="H668" s="179"/>
      <c r="I668" s="181"/>
      <c r="J668" s="179"/>
      <c r="K668" s="179"/>
      <c r="L668" s="182"/>
      <c r="M668" s="182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32"/>
      <c r="Z668" s="179"/>
      <c r="AA668" s="179"/>
      <c r="AB668" s="179"/>
      <c r="AC668" s="179"/>
      <c r="AD668" s="132"/>
      <c r="AE668" s="179"/>
      <c r="AF668" s="179"/>
    </row>
    <row r="669" ht="12.75" customHeight="1" spans="1:32" x14ac:dyDescent="0.25">
      <c r="A669" s="179"/>
      <c r="B669" s="179"/>
      <c r="C669" s="179"/>
      <c r="D669" s="179"/>
      <c r="E669" s="179"/>
      <c r="F669" s="179"/>
      <c r="G669" s="179"/>
      <c r="H669" s="179"/>
      <c r="I669" s="181"/>
      <c r="J669" s="179"/>
      <c r="K669" s="179"/>
      <c r="L669" s="182"/>
      <c r="M669" s="182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32"/>
      <c r="Z669" s="179"/>
      <c r="AA669" s="179"/>
      <c r="AB669" s="179"/>
      <c r="AC669" s="179"/>
      <c r="AD669" s="132"/>
      <c r="AE669" s="179"/>
      <c r="AF669" s="179"/>
    </row>
    <row r="670" ht="12.75" customHeight="1" spans="1:32" x14ac:dyDescent="0.25">
      <c r="A670" s="179"/>
      <c r="B670" s="179"/>
      <c r="C670" s="179"/>
      <c r="D670" s="179"/>
      <c r="E670" s="179"/>
      <c r="F670" s="179"/>
      <c r="G670" s="179"/>
      <c r="H670" s="179"/>
      <c r="I670" s="181"/>
      <c r="J670" s="179"/>
      <c r="K670" s="179"/>
      <c r="L670" s="182"/>
      <c r="M670" s="182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32"/>
      <c r="Z670" s="179"/>
      <c r="AA670" s="179"/>
      <c r="AB670" s="179"/>
      <c r="AC670" s="179"/>
      <c r="AD670" s="132"/>
      <c r="AE670" s="179"/>
      <c r="AF670" s="179"/>
    </row>
    <row r="671" ht="12.75" customHeight="1" spans="1:32" x14ac:dyDescent="0.25">
      <c r="A671" s="179"/>
      <c r="B671" s="179"/>
      <c r="C671" s="179"/>
      <c r="D671" s="179"/>
      <c r="E671" s="179"/>
      <c r="F671" s="179"/>
      <c r="G671" s="179"/>
      <c r="H671" s="179"/>
      <c r="I671" s="181"/>
      <c r="J671" s="179"/>
      <c r="K671" s="179"/>
      <c r="L671" s="182"/>
      <c r="M671" s="182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32"/>
      <c r="Z671" s="179"/>
      <c r="AA671" s="179"/>
      <c r="AB671" s="179"/>
      <c r="AC671" s="179"/>
      <c r="AD671" s="132"/>
      <c r="AE671" s="179"/>
      <c r="AF671" s="179"/>
    </row>
    <row r="672" ht="12.75" customHeight="1" spans="1:32" x14ac:dyDescent="0.25">
      <c r="A672" s="179"/>
      <c r="B672" s="179"/>
      <c r="C672" s="179"/>
      <c r="D672" s="179"/>
      <c r="E672" s="179"/>
      <c r="F672" s="179"/>
      <c r="G672" s="179"/>
      <c r="H672" s="179"/>
      <c r="I672" s="181"/>
      <c r="J672" s="179"/>
      <c r="K672" s="179"/>
      <c r="L672" s="182"/>
      <c r="M672" s="182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32"/>
      <c r="Z672" s="179"/>
      <c r="AA672" s="179"/>
      <c r="AB672" s="179"/>
      <c r="AC672" s="179"/>
      <c r="AD672" s="132"/>
      <c r="AE672" s="179"/>
      <c r="AF672" s="179"/>
    </row>
    <row r="673" ht="12.75" customHeight="1" spans="1:32" x14ac:dyDescent="0.25">
      <c r="A673" s="179"/>
      <c r="B673" s="179"/>
      <c r="C673" s="179"/>
      <c r="D673" s="179"/>
      <c r="E673" s="179"/>
      <c r="F673" s="179"/>
      <c r="G673" s="179"/>
      <c r="H673" s="179"/>
      <c r="I673" s="181"/>
      <c r="J673" s="179"/>
      <c r="K673" s="179"/>
      <c r="L673" s="182"/>
      <c r="M673" s="182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32"/>
      <c r="Z673" s="179"/>
      <c r="AA673" s="179"/>
      <c r="AB673" s="179"/>
      <c r="AC673" s="179"/>
      <c r="AD673" s="132"/>
      <c r="AE673" s="179"/>
      <c r="AF673" s="179"/>
    </row>
    <row r="674" ht="12.75" customHeight="1" spans="1:32" x14ac:dyDescent="0.25">
      <c r="A674" s="179"/>
      <c r="B674" s="179"/>
      <c r="C674" s="179"/>
      <c r="D674" s="179"/>
      <c r="E674" s="179"/>
      <c r="F674" s="179"/>
      <c r="G674" s="179"/>
      <c r="H674" s="179"/>
      <c r="I674" s="181"/>
      <c r="J674" s="179"/>
      <c r="K674" s="179"/>
      <c r="L674" s="182"/>
      <c r="M674" s="182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32"/>
      <c r="Z674" s="179"/>
      <c r="AA674" s="179"/>
      <c r="AB674" s="179"/>
      <c r="AC674" s="179"/>
      <c r="AD674" s="132"/>
      <c r="AE674" s="179"/>
      <c r="AF674" s="179"/>
    </row>
    <row r="675" ht="12.75" customHeight="1" spans="1:32" x14ac:dyDescent="0.25">
      <c r="A675" s="179"/>
      <c r="B675" s="179"/>
      <c r="C675" s="179"/>
      <c r="D675" s="179"/>
      <c r="E675" s="179"/>
      <c r="F675" s="179"/>
      <c r="G675" s="179"/>
      <c r="H675" s="179"/>
      <c r="I675" s="181"/>
      <c r="J675" s="179"/>
      <c r="K675" s="179"/>
      <c r="L675" s="182"/>
      <c r="M675" s="182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32"/>
      <c r="Z675" s="179"/>
      <c r="AA675" s="179"/>
      <c r="AB675" s="179"/>
      <c r="AC675" s="179"/>
      <c r="AD675" s="132"/>
      <c r="AE675" s="179"/>
      <c r="AF675" s="179"/>
    </row>
    <row r="676" ht="12.75" customHeight="1" spans="1:32" x14ac:dyDescent="0.25">
      <c r="A676" s="179"/>
      <c r="B676" s="179"/>
      <c r="C676" s="179"/>
      <c r="D676" s="179"/>
      <c r="E676" s="179"/>
      <c r="F676" s="179"/>
      <c r="G676" s="179"/>
      <c r="H676" s="179"/>
      <c r="I676" s="181"/>
      <c r="J676" s="179"/>
      <c r="K676" s="179"/>
      <c r="L676" s="182"/>
      <c r="M676" s="182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32"/>
      <c r="Z676" s="179"/>
      <c r="AA676" s="179"/>
      <c r="AB676" s="179"/>
      <c r="AC676" s="179"/>
      <c r="AD676" s="132"/>
      <c r="AE676" s="179"/>
      <c r="AF676" s="179"/>
    </row>
    <row r="677" ht="12.75" customHeight="1" spans="1:32" x14ac:dyDescent="0.25">
      <c r="A677" s="179"/>
      <c r="B677" s="179"/>
      <c r="C677" s="179"/>
      <c r="D677" s="179"/>
      <c r="E677" s="179"/>
      <c r="F677" s="179"/>
      <c r="G677" s="179"/>
      <c r="H677" s="179"/>
      <c r="I677" s="181"/>
      <c r="J677" s="179"/>
      <c r="K677" s="179"/>
      <c r="L677" s="182"/>
      <c r="M677" s="182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32"/>
      <c r="Z677" s="179"/>
      <c r="AA677" s="179"/>
      <c r="AB677" s="179"/>
      <c r="AC677" s="179"/>
      <c r="AD677" s="132"/>
      <c r="AE677" s="179"/>
      <c r="AF677" s="179"/>
    </row>
    <row r="678" ht="12.75" customHeight="1" spans="1:32" x14ac:dyDescent="0.25">
      <c r="A678" s="179"/>
      <c r="B678" s="179"/>
      <c r="C678" s="179"/>
      <c r="D678" s="179"/>
      <c r="E678" s="179"/>
      <c r="F678" s="179"/>
      <c r="G678" s="179"/>
      <c r="H678" s="179"/>
      <c r="I678" s="181"/>
      <c r="J678" s="179"/>
      <c r="K678" s="179"/>
      <c r="L678" s="182"/>
      <c r="M678" s="182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32"/>
      <c r="Z678" s="179"/>
      <c r="AA678" s="179"/>
      <c r="AB678" s="179"/>
      <c r="AC678" s="179"/>
      <c r="AD678" s="132"/>
      <c r="AE678" s="179"/>
      <c r="AF678" s="179"/>
    </row>
    <row r="679" ht="12.75" customHeight="1" spans="1:32" x14ac:dyDescent="0.25">
      <c r="A679" s="179"/>
      <c r="B679" s="179"/>
      <c r="C679" s="179"/>
      <c r="D679" s="179"/>
      <c r="E679" s="179"/>
      <c r="F679" s="179"/>
      <c r="G679" s="179"/>
      <c r="H679" s="179"/>
      <c r="I679" s="181"/>
      <c r="J679" s="179"/>
      <c r="K679" s="179"/>
      <c r="L679" s="182"/>
      <c r="M679" s="182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32"/>
      <c r="Z679" s="179"/>
      <c r="AA679" s="179"/>
      <c r="AB679" s="179"/>
      <c r="AC679" s="179"/>
      <c r="AD679" s="132"/>
      <c r="AE679" s="179"/>
      <c r="AF679" s="179"/>
    </row>
    <row r="680" ht="12.75" customHeight="1" spans="1:32" x14ac:dyDescent="0.25">
      <c r="A680" s="179"/>
      <c r="B680" s="179"/>
      <c r="C680" s="179"/>
      <c r="D680" s="179"/>
      <c r="E680" s="179"/>
      <c r="F680" s="179"/>
      <c r="G680" s="179"/>
      <c r="H680" s="179"/>
      <c r="I680" s="181"/>
      <c r="J680" s="179"/>
      <c r="K680" s="179"/>
      <c r="L680" s="182"/>
      <c r="M680" s="182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32"/>
      <c r="Z680" s="179"/>
      <c r="AA680" s="179"/>
      <c r="AB680" s="179"/>
      <c r="AC680" s="179"/>
      <c r="AD680" s="132"/>
      <c r="AE680" s="179"/>
      <c r="AF680" s="179"/>
    </row>
    <row r="681" ht="12.75" customHeight="1" spans="1:32" x14ac:dyDescent="0.25">
      <c r="A681" s="179"/>
      <c r="B681" s="179"/>
      <c r="C681" s="179"/>
      <c r="D681" s="179"/>
      <c r="E681" s="179"/>
      <c r="F681" s="179"/>
      <c r="G681" s="179"/>
      <c r="H681" s="179"/>
      <c r="I681" s="181"/>
      <c r="J681" s="179"/>
      <c r="K681" s="179"/>
      <c r="L681" s="182"/>
      <c r="M681" s="182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32"/>
      <c r="Z681" s="179"/>
      <c r="AA681" s="179"/>
      <c r="AB681" s="179"/>
      <c r="AC681" s="179"/>
      <c r="AD681" s="132"/>
      <c r="AE681" s="179"/>
      <c r="AF681" s="179"/>
    </row>
    <row r="682" ht="12.75" customHeight="1" spans="1:32" x14ac:dyDescent="0.25">
      <c r="A682" s="179"/>
      <c r="B682" s="179"/>
      <c r="C682" s="179"/>
      <c r="D682" s="179"/>
      <c r="E682" s="179"/>
      <c r="F682" s="179"/>
      <c r="G682" s="179"/>
      <c r="H682" s="179"/>
      <c r="I682" s="181"/>
      <c r="J682" s="179"/>
      <c r="K682" s="179"/>
      <c r="L682" s="182"/>
      <c r="M682" s="182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32"/>
      <c r="Z682" s="179"/>
      <c r="AA682" s="179"/>
      <c r="AB682" s="179"/>
      <c r="AC682" s="179"/>
      <c r="AD682" s="132"/>
      <c r="AE682" s="179"/>
      <c r="AF682" s="179"/>
    </row>
    <row r="683" ht="12.75" customHeight="1" spans="1:32" x14ac:dyDescent="0.25">
      <c r="A683" s="179"/>
      <c r="B683" s="179"/>
      <c r="C683" s="179"/>
      <c r="D683" s="179"/>
      <c r="E683" s="179"/>
      <c r="F683" s="179"/>
      <c r="G683" s="179"/>
      <c r="H683" s="179"/>
      <c r="I683" s="181"/>
      <c r="J683" s="179"/>
      <c r="K683" s="179"/>
      <c r="L683" s="182"/>
      <c r="M683" s="182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32"/>
      <c r="Z683" s="179"/>
      <c r="AA683" s="179"/>
      <c r="AB683" s="179"/>
      <c r="AC683" s="179"/>
      <c r="AD683" s="132"/>
      <c r="AE683" s="179"/>
      <c r="AF683" s="179"/>
    </row>
    <row r="684" ht="12.75" customHeight="1" spans="1:32" x14ac:dyDescent="0.25">
      <c r="A684" s="179"/>
      <c r="B684" s="179"/>
      <c r="C684" s="179"/>
      <c r="D684" s="179"/>
      <c r="E684" s="179"/>
      <c r="F684" s="179"/>
      <c r="G684" s="179"/>
      <c r="H684" s="179"/>
      <c r="I684" s="181"/>
      <c r="J684" s="179"/>
      <c r="K684" s="179"/>
      <c r="L684" s="182"/>
      <c r="M684" s="182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32"/>
      <c r="Z684" s="179"/>
      <c r="AA684" s="179"/>
      <c r="AB684" s="179"/>
      <c r="AC684" s="179"/>
      <c r="AD684" s="132"/>
      <c r="AE684" s="179"/>
      <c r="AF684" s="179"/>
    </row>
    <row r="685" ht="12.75" customHeight="1" spans="1:32" x14ac:dyDescent="0.25">
      <c r="A685" s="179"/>
      <c r="B685" s="179"/>
      <c r="C685" s="179"/>
      <c r="D685" s="179"/>
      <c r="E685" s="179"/>
      <c r="F685" s="179"/>
      <c r="G685" s="179"/>
      <c r="H685" s="179"/>
      <c r="I685" s="181"/>
      <c r="J685" s="179"/>
      <c r="K685" s="179"/>
      <c r="L685" s="182"/>
      <c r="M685" s="182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32"/>
      <c r="Z685" s="179"/>
      <c r="AA685" s="179"/>
      <c r="AB685" s="179"/>
      <c r="AC685" s="179"/>
      <c r="AD685" s="132"/>
      <c r="AE685" s="179"/>
      <c r="AF685" s="179"/>
    </row>
    <row r="686" ht="12.75" customHeight="1" spans="1:32" x14ac:dyDescent="0.25">
      <c r="A686" s="179"/>
      <c r="B686" s="179"/>
      <c r="C686" s="179"/>
      <c r="D686" s="179"/>
      <c r="E686" s="179"/>
      <c r="F686" s="179"/>
      <c r="G686" s="179"/>
      <c r="H686" s="179"/>
      <c r="I686" s="181"/>
      <c r="J686" s="179"/>
      <c r="K686" s="179"/>
      <c r="L686" s="182"/>
      <c r="M686" s="182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32"/>
      <c r="Z686" s="179"/>
      <c r="AA686" s="179"/>
      <c r="AB686" s="179"/>
      <c r="AC686" s="179"/>
      <c r="AD686" s="132"/>
      <c r="AE686" s="179"/>
      <c r="AF686" s="179"/>
    </row>
    <row r="687" ht="12.75" customHeight="1" spans="1:32" x14ac:dyDescent="0.25">
      <c r="A687" s="179"/>
      <c r="B687" s="179"/>
      <c r="C687" s="179"/>
      <c r="D687" s="179"/>
      <c r="E687" s="179"/>
      <c r="F687" s="179"/>
      <c r="G687" s="179"/>
      <c r="H687" s="179"/>
      <c r="I687" s="181"/>
      <c r="J687" s="179"/>
      <c r="K687" s="179"/>
      <c r="L687" s="182"/>
      <c r="M687" s="182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32"/>
      <c r="Z687" s="179"/>
      <c r="AA687" s="179"/>
      <c r="AB687" s="179"/>
      <c r="AC687" s="179"/>
      <c r="AD687" s="132"/>
      <c r="AE687" s="179"/>
      <c r="AF687" s="179"/>
    </row>
    <row r="688" ht="12.75" customHeight="1" spans="1:32" x14ac:dyDescent="0.25">
      <c r="A688" s="179"/>
      <c r="B688" s="179"/>
      <c r="C688" s="179"/>
      <c r="D688" s="179"/>
      <c r="E688" s="179"/>
      <c r="F688" s="179"/>
      <c r="G688" s="179"/>
      <c r="H688" s="179"/>
      <c r="I688" s="181"/>
      <c r="J688" s="179"/>
      <c r="K688" s="179"/>
      <c r="L688" s="182"/>
      <c r="M688" s="182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32"/>
      <c r="Z688" s="179"/>
      <c r="AA688" s="179"/>
      <c r="AB688" s="179"/>
      <c r="AC688" s="179"/>
      <c r="AD688" s="132"/>
      <c r="AE688" s="179"/>
      <c r="AF688" s="179"/>
    </row>
    <row r="689" ht="12.75" customHeight="1" spans="1:32" x14ac:dyDescent="0.25">
      <c r="A689" s="179"/>
      <c r="B689" s="179"/>
      <c r="C689" s="179"/>
      <c r="D689" s="179"/>
      <c r="E689" s="179"/>
      <c r="F689" s="179"/>
      <c r="G689" s="179"/>
      <c r="H689" s="179"/>
      <c r="I689" s="181"/>
      <c r="J689" s="179"/>
      <c r="K689" s="179"/>
      <c r="L689" s="182"/>
      <c r="M689" s="182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32"/>
      <c r="Z689" s="179"/>
      <c r="AA689" s="179"/>
      <c r="AB689" s="179"/>
      <c r="AC689" s="179"/>
      <c r="AD689" s="132"/>
      <c r="AE689" s="179"/>
      <c r="AF689" s="179"/>
    </row>
    <row r="690" ht="12.75" customHeight="1" spans="1:32" x14ac:dyDescent="0.25">
      <c r="A690" s="179"/>
      <c r="B690" s="179"/>
      <c r="C690" s="179"/>
      <c r="D690" s="179"/>
      <c r="E690" s="179"/>
      <c r="F690" s="179"/>
      <c r="G690" s="179"/>
      <c r="H690" s="179"/>
      <c r="I690" s="181"/>
      <c r="J690" s="179"/>
      <c r="K690" s="179"/>
      <c r="L690" s="182"/>
      <c r="M690" s="182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32"/>
      <c r="Z690" s="179"/>
      <c r="AA690" s="179"/>
      <c r="AB690" s="179"/>
      <c r="AC690" s="179"/>
      <c r="AD690" s="132"/>
      <c r="AE690" s="179"/>
      <c r="AF690" s="179"/>
    </row>
    <row r="691" ht="12.75" customHeight="1" spans="1:32" x14ac:dyDescent="0.25">
      <c r="A691" s="179"/>
      <c r="B691" s="179"/>
      <c r="C691" s="179"/>
      <c r="D691" s="179"/>
      <c r="E691" s="179"/>
      <c r="F691" s="179"/>
      <c r="G691" s="179"/>
      <c r="H691" s="179"/>
      <c r="I691" s="181"/>
      <c r="J691" s="179"/>
      <c r="K691" s="179"/>
      <c r="L691" s="182"/>
      <c r="M691" s="182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32"/>
      <c r="Z691" s="179"/>
      <c r="AA691" s="179"/>
      <c r="AB691" s="179"/>
      <c r="AC691" s="179"/>
      <c r="AD691" s="132"/>
      <c r="AE691" s="179"/>
      <c r="AF691" s="179"/>
    </row>
    <row r="692" ht="12.75" customHeight="1" spans="1:32" x14ac:dyDescent="0.25">
      <c r="A692" s="179"/>
      <c r="B692" s="179"/>
      <c r="C692" s="179"/>
      <c r="D692" s="179"/>
      <c r="E692" s="179"/>
      <c r="F692" s="179"/>
      <c r="G692" s="179"/>
      <c r="H692" s="179"/>
      <c r="I692" s="181"/>
      <c r="J692" s="179"/>
      <c r="K692" s="179"/>
      <c r="L692" s="182"/>
      <c r="M692" s="182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32"/>
      <c r="Z692" s="179"/>
      <c r="AA692" s="179"/>
      <c r="AB692" s="179"/>
      <c r="AC692" s="179"/>
      <c r="AD692" s="132"/>
      <c r="AE692" s="179"/>
      <c r="AF692" s="179"/>
    </row>
    <row r="693" ht="12.75" customHeight="1" spans="1:32" x14ac:dyDescent="0.25">
      <c r="A693" s="179"/>
      <c r="B693" s="179"/>
      <c r="C693" s="179"/>
      <c r="D693" s="179"/>
      <c r="E693" s="179"/>
      <c r="F693" s="179"/>
      <c r="G693" s="179"/>
      <c r="H693" s="179"/>
      <c r="I693" s="181"/>
      <c r="J693" s="179"/>
      <c r="K693" s="179"/>
      <c r="L693" s="182"/>
      <c r="M693" s="182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32"/>
      <c r="Z693" s="179"/>
      <c r="AA693" s="179"/>
      <c r="AB693" s="179"/>
      <c r="AC693" s="179"/>
      <c r="AD693" s="132"/>
      <c r="AE693" s="179"/>
      <c r="AF693" s="179"/>
    </row>
    <row r="694" ht="12.75" customHeight="1" spans="1:32" x14ac:dyDescent="0.25">
      <c r="A694" s="179"/>
      <c r="B694" s="179"/>
      <c r="C694" s="179"/>
      <c r="D694" s="179"/>
      <c r="E694" s="179"/>
      <c r="F694" s="179"/>
      <c r="G694" s="179"/>
      <c r="H694" s="179"/>
      <c r="I694" s="181"/>
      <c r="J694" s="179"/>
      <c r="K694" s="179"/>
      <c r="L694" s="182"/>
      <c r="M694" s="182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32"/>
      <c r="Z694" s="179"/>
      <c r="AA694" s="179"/>
      <c r="AB694" s="179"/>
      <c r="AC694" s="179"/>
      <c r="AD694" s="132"/>
      <c r="AE694" s="179"/>
      <c r="AF694" s="179"/>
    </row>
    <row r="695" ht="12.75" customHeight="1" spans="1:32" x14ac:dyDescent="0.25">
      <c r="A695" s="179"/>
      <c r="B695" s="179"/>
      <c r="C695" s="179"/>
      <c r="D695" s="179"/>
      <c r="E695" s="179"/>
      <c r="F695" s="179"/>
      <c r="G695" s="179"/>
      <c r="H695" s="179"/>
      <c r="I695" s="181"/>
      <c r="J695" s="179"/>
      <c r="K695" s="179"/>
      <c r="L695" s="182"/>
      <c r="M695" s="182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32"/>
      <c r="Z695" s="179"/>
      <c r="AA695" s="179"/>
      <c r="AB695" s="179"/>
      <c r="AC695" s="179"/>
      <c r="AD695" s="132"/>
      <c r="AE695" s="179"/>
      <c r="AF695" s="179"/>
    </row>
    <row r="696" ht="12.75" customHeight="1" spans="1:32" x14ac:dyDescent="0.25">
      <c r="A696" s="179"/>
      <c r="B696" s="179"/>
      <c r="C696" s="179"/>
      <c r="D696" s="179"/>
      <c r="E696" s="179"/>
      <c r="F696" s="179"/>
      <c r="G696" s="179"/>
      <c r="H696" s="179"/>
      <c r="I696" s="181"/>
      <c r="J696" s="179"/>
      <c r="K696" s="179"/>
      <c r="L696" s="182"/>
      <c r="M696" s="182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32"/>
      <c r="Z696" s="179"/>
      <c r="AA696" s="179"/>
      <c r="AB696" s="179"/>
      <c r="AC696" s="179"/>
      <c r="AD696" s="132"/>
      <c r="AE696" s="179"/>
      <c r="AF696" s="179"/>
    </row>
    <row r="697" ht="12.75" customHeight="1" spans="1:32" x14ac:dyDescent="0.25">
      <c r="A697" s="179"/>
      <c r="B697" s="179"/>
      <c r="C697" s="179"/>
      <c r="D697" s="179"/>
      <c r="E697" s="179"/>
      <c r="F697" s="179"/>
      <c r="G697" s="179"/>
      <c r="H697" s="179"/>
      <c r="I697" s="181"/>
      <c r="J697" s="179"/>
      <c r="K697" s="179"/>
      <c r="L697" s="182"/>
      <c r="M697" s="182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32"/>
      <c r="Z697" s="179"/>
      <c r="AA697" s="179"/>
      <c r="AB697" s="179"/>
      <c r="AC697" s="179"/>
      <c r="AD697" s="132"/>
      <c r="AE697" s="179"/>
      <c r="AF697" s="179"/>
    </row>
    <row r="698" ht="12.75" customHeight="1" spans="1:32" x14ac:dyDescent="0.25">
      <c r="A698" s="179"/>
      <c r="B698" s="179"/>
      <c r="C698" s="179"/>
      <c r="D698" s="179"/>
      <c r="E698" s="179"/>
      <c r="F698" s="179"/>
      <c r="G698" s="179"/>
      <c r="H698" s="179"/>
      <c r="I698" s="181"/>
      <c r="J698" s="179"/>
      <c r="K698" s="179"/>
      <c r="L698" s="182"/>
      <c r="M698" s="182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32"/>
      <c r="Z698" s="179"/>
      <c r="AA698" s="179"/>
      <c r="AB698" s="179"/>
      <c r="AC698" s="179"/>
      <c r="AD698" s="132"/>
      <c r="AE698" s="179"/>
      <c r="AF698" s="179"/>
    </row>
    <row r="699" ht="12.75" customHeight="1" spans="1:32" x14ac:dyDescent="0.25">
      <c r="A699" s="179"/>
      <c r="B699" s="179"/>
      <c r="C699" s="179"/>
      <c r="D699" s="179"/>
      <c r="E699" s="179"/>
      <c r="F699" s="179"/>
      <c r="G699" s="179"/>
      <c r="H699" s="179"/>
      <c r="I699" s="181"/>
      <c r="J699" s="179"/>
      <c r="K699" s="179"/>
      <c r="L699" s="182"/>
      <c r="M699" s="182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32"/>
      <c r="Z699" s="179"/>
      <c r="AA699" s="179"/>
      <c r="AB699" s="179"/>
      <c r="AC699" s="179"/>
      <c r="AD699" s="132"/>
      <c r="AE699" s="179"/>
      <c r="AF699" s="179"/>
    </row>
    <row r="700" ht="12.75" customHeight="1" spans="1:32" x14ac:dyDescent="0.25">
      <c r="A700" s="179"/>
      <c r="B700" s="179"/>
      <c r="C700" s="179"/>
      <c r="D700" s="179"/>
      <c r="E700" s="179"/>
      <c r="F700" s="179"/>
      <c r="G700" s="179"/>
      <c r="H700" s="179"/>
      <c r="I700" s="181"/>
      <c r="J700" s="179"/>
      <c r="K700" s="179"/>
      <c r="L700" s="182"/>
      <c r="M700" s="182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32"/>
      <c r="Z700" s="179"/>
      <c r="AA700" s="179"/>
      <c r="AB700" s="179"/>
      <c r="AC700" s="179"/>
      <c r="AD700" s="132"/>
      <c r="AE700" s="179"/>
      <c r="AF700" s="179"/>
    </row>
    <row r="701" ht="12.75" customHeight="1" spans="1:32" x14ac:dyDescent="0.25">
      <c r="A701" s="179"/>
      <c r="B701" s="179"/>
      <c r="C701" s="179"/>
      <c r="D701" s="179"/>
      <c r="E701" s="179"/>
      <c r="F701" s="179"/>
      <c r="G701" s="179"/>
      <c r="H701" s="179"/>
      <c r="I701" s="181"/>
      <c r="J701" s="179"/>
      <c r="K701" s="179"/>
      <c r="L701" s="182"/>
      <c r="M701" s="182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32"/>
      <c r="Z701" s="179"/>
      <c r="AA701" s="179"/>
      <c r="AB701" s="179"/>
      <c r="AC701" s="179"/>
      <c r="AD701" s="132"/>
      <c r="AE701" s="179"/>
      <c r="AF701" s="179"/>
    </row>
    <row r="702" ht="12.75" customHeight="1" spans="1:32" x14ac:dyDescent="0.25">
      <c r="A702" s="179"/>
      <c r="B702" s="179"/>
      <c r="C702" s="179"/>
      <c r="D702" s="179"/>
      <c r="E702" s="179"/>
      <c r="F702" s="179"/>
      <c r="G702" s="179"/>
      <c r="H702" s="179"/>
      <c r="I702" s="181"/>
      <c r="J702" s="179"/>
      <c r="K702" s="179"/>
      <c r="L702" s="182"/>
      <c r="M702" s="182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32"/>
      <c r="Z702" s="179"/>
      <c r="AA702" s="179"/>
      <c r="AB702" s="179"/>
      <c r="AC702" s="179"/>
      <c r="AD702" s="132"/>
      <c r="AE702" s="179"/>
      <c r="AF702" s="179"/>
    </row>
    <row r="703" ht="12.75" customHeight="1" spans="1:32" x14ac:dyDescent="0.25">
      <c r="A703" s="179"/>
      <c r="B703" s="179"/>
      <c r="C703" s="179"/>
      <c r="D703" s="179"/>
      <c r="E703" s="179"/>
      <c r="F703" s="179"/>
      <c r="G703" s="179"/>
      <c r="H703" s="179"/>
      <c r="I703" s="181"/>
      <c r="J703" s="179"/>
      <c r="K703" s="179"/>
      <c r="L703" s="182"/>
      <c r="M703" s="182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32"/>
      <c r="Z703" s="179"/>
      <c r="AA703" s="179"/>
      <c r="AB703" s="179"/>
      <c r="AC703" s="179"/>
      <c r="AD703" s="132"/>
      <c r="AE703" s="179"/>
      <c r="AF703" s="179"/>
    </row>
    <row r="704" ht="12.75" customHeight="1" spans="1:32" x14ac:dyDescent="0.25">
      <c r="A704" s="179"/>
      <c r="B704" s="179"/>
      <c r="C704" s="179"/>
      <c r="D704" s="179"/>
      <c r="E704" s="179"/>
      <c r="F704" s="179"/>
      <c r="G704" s="179"/>
      <c r="H704" s="179"/>
      <c r="I704" s="181"/>
      <c r="J704" s="179"/>
      <c r="K704" s="179"/>
      <c r="L704" s="182"/>
      <c r="M704" s="182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32"/>
      <c r="Z704" s="179"/>
      <c r="AA704" s="179"/>
      <c r="AB704" s="179"/>
      <c r="AC704" s="179"/>
      <c r="AD704" s="132"/>
      <c r="AE704" s="179"/>
      <c r="AF704" s="179"/>
    </row>
    <row r="705" ht="12.75" customHeight="1" spans="1:32" x14ac:dyDescent="0.25">
      <c r="A705" s="179"/>
      <c r="B705" s="179"/>
      <c r="C705" s="179"/>
      <c r="D705" s="179"/>
      <c r="E705" s="179"/>
      <c r="F705" s="179"/>
      <c r="G705" s="179"/>
      <c r="H705" s="179"/>
      <c r="I705" s="181"/>
      <c r="J705" s="179"/>
      <c r="K705" s="179"/>
      <c r="L705" s="182"/>
      <c r="M705" s="182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32"/>
      <c r="Z705" s="179"/>
      <c r="AA705" s="179"/>
      <c r="AB705" s="179"/>
      <c r="AC705" s="179"/>
      <c r="AD705" s="132"/>
      <c r="AE705" s="179"/>
      <c r="AF705" s="179"/>
    </row>
    <row r="706" ht="12.75" customHeight="1" spans="1:32" x14ac:dyDescent="0.25">
      <c r="A706" s="179"/>
      <c r="B706" s="179"/>
      <c r="C706" s="179"/>
      <c r="D706" s="179"/>
      <c r="E706" s="179"/>
      <c r="F706" s="179"/>
      <c r="G706" s="179"/>
      <c r="H706" s="179"/>
      <c r="I706" s="181"/>
      <c r="J706" s="179"/>
      <c r="K706" s="179"/>
      <c r="L706" s="182"/>
      <c r="M706" s="182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32"/>
      <c r="Z706" s="179"/>
      <c r="AA706" s="179"/>
      <c r="AB706" s="179"/>
      <c r="AC706" s="179"/>
      <c r="AD706" s="132"/>
      <c r="AE706" s="179"/>
      <c r="AF706" s="179"/>
    </row>
    <row r="707" ht="12.75" customHeight="1" spans="1:32" x14ac:dyDescent="0.25">
      <c r="A707" s="179"/>
      <c r="B707" s="179"/>
      <c r="C707" s="179"/>
      <c r="D707" s="179"/>
      <c r="E707" s="179"/>
      <c r="F707" s="179"/>
      <c r="G707" s="179"/>
      <c r="H707" s="179"/>
      <c r="I707" s="181"/>
      <c r="J707" s="179"/>
      <c r="K707" s="179"/>
      <c r="L707" s="182"/>
      <c r="M707" s="182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32"/>
      <c r="Z707" s="179"/>
      <c r="AA707" s="179"/>
      <c r="AB707" s="179"/>
      <c r="AC707" s="179"/>
      <c r="AD707" s="132"/>
      <c r="AE707" s="179"/>
      <c r="AF707" s="179"/>
    </row>
    <row r="708" ht="12.75" customHeight="1" spans="1:32" x14ac:dyDescent="0.25">
      <c r="A708" s="179"/>
      <c r="B708" s="179"/>
      <c r="C708" s="179"/>
      <c r="D708" s="179"/>
      <c r="E708" s="179"/>
      <c r="F708" s="179"/>
      <c r="G708" s="179"/>
      <c r="H708" s="179"/>
      <c r="I708" s="181"/>
      <c r="J708" s="179"/>
      <c r="K708" s="179"/>
      <c r="L708" s="182"/>
      <c r="M708" s="182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32"/>
      <c r="Z708" s="179"/>
      <c r="AA708" s="179"/>
      <c r="AB708" s="179"/>
      <c r="AC708" s="179"/>
      <c r="AD708" s="132"/>
      <c r="AE708" s="179"/>
      <c r="AF708" s="179"/>
    </row>
    <row r="709" ht="12.75" customHeight="1" spans="1:32" x14ac:dyDescent="0.25">
      <c r="A709" s="179"/>
      <c r="B709" s="179"/>
      <c r="C709" s="179"/>
      <c r="D709" s="179"/>
      <c r="E709" s="179"/>
      <c r="F709" s="179"/>
      <c r="G709" s="179"/>
      <c r="H709" s="179"/>
      <c r="I709" s="181"/>
      <c r="J709" s="179"/>
      <c r="K709" s="179"/>
      <c r="L709" s="182"/>
      <c r="M709" s="182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32"/>
      <c r="Z709" s="179"/>
      <c r="AA709" s="179"/>
      <c r="AB709" s="179"/>
      <c r="AC709" s="179"/>
      <c r="AD709" s="132"/>
      <c r="AE709" s="179"/>
      <c r="AF709" s="179"/>
    </row>
    <row r="710" ht="12.75" customHeight="1" spans="1:32" x14ac:dyDescent="0.25">
      <c r="A710" s="179"/>
      <c r="B710" s="179"/>
      <c r="C710" s="179"/>
      <c r="D710" s="179"/>
      <c r="E710" s="179"/>
      <c r="F710" s="179"/>
      <c r="G710" s="179"/>
      <c r="H710" s="179"/>
      <c r="I710" s="181"/>
      <c r="J710" s="179"/>
      <c r="K710" s="179"/>
      <c r="L710" s="182"/>
      <c r="M710" s="182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32"/>
      <c r="Z710" s="179"/>
      <c r="AA710" s="179"/>
      <c r="AB710" s="179"/>
      <c r="AC710" s="179"/>
      <c r="AD710" s="132"/>
      <c r="AE710" s="179"/>
      <c r="AF710" s="179"/>
    </row>
    <row r="711" ht="12.75" customHeight="1" spans="1:32" x14ac:dyDescent="0.25">
      <c r="A711" s="179"/>
      <c r="B711" s="179"/>
      <c r="C711" s="179"/>
      <c r="D711" s="179"/>
      <c r="E711" s="179"/>
      <c r="F711" s="179"/>
      <c r="G711" s="179"/>
      <c r="H711" s="179"/>
      <c r="I711" s="181"/>
      <c r="J711" s="179"/>
      <c r="K711" s="179"/>
      <c r="L711" s="182"/>
      <c r="M711" s="182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32"/>
      <c r="Z711" s="179"/>
      <c r="AA711" s="179"/>
      <c r="AB711" s="179"/>
      <c r="AC711" s="179"/>
      <c r="AD711" s="132"/>
      <c r="AE711" s="179"/>
      <c r="AF711" s="179"/>
    </row>
    <row r="712" ht="12.75" customHeight="1" spans="1:32" x14ac:dyDescent="0.25">
      <c r="A712" s="179"/>
      <c r="B712" s="179"/>
      <c r="C712" s="179"/>
      <c r="D712" s="179"/>
      <c r="E712" s="179"/>
      <c r="F712" s="179"/>
      <c r="G712" s="179"/>
      <c r="H712" s="179"/>
      <c r="I712" s="181"/>
      <c r="J712" s="179"/>
      <c r="K712" s="179"/>
      <c r="L712" s="182"/>
      <c r="M712" s="182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32"/>
      <c r="Z712" s="179"/>
      <c r="AA712" s="179"/>
      <c r="AB712" s="179"/>
      <c r="AC712" s="179"/>
      <c r="AD712" s="132"/>
      <c r="AE712" s="179"/>
      <c r="AF712" s="179"/>
    </row>
    <row r="713" ht="12.75" customHeight="1" spans="1:32" x14ac:dyDescent="0.25">
      <c r="A713" s="179"/>
      <c r="B713" s="179"/>
      <c r="C713" s="179"/>
      <c r="D713" s="179"/>
      <c r="E713" s="179"/>
      <c r="F713" s="179"/>
      <c r="G713" s="179"/>
      <c r="H713" s="179"/>
      <c r="I713" s="181"/>
      <c r="J713" s="179"/>
      <c r="K713" s="179"/>
      <c r="L713" s="182"/>
      <c r="M713" s="182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32"/>
      <c r="Z713" s="179"/>
      <c r="AA713" s="179"/>
      <c r="AB713" s="179"/>
      <c r="AC713" s="179"/>
      <c r="AD713" s="132"/>
      <c r="AE713" s="179"/>
      <c r="AF713" s="179"/>
    </row>
    <row r="714" ht="12.75" customHeight="1" spans="1:32" x14ac:dyDescent="0.25">
      <c r="A714" s="179"/>
      <c r="B714" s="179"/>
      <c r="C714" s="179"/>
      <c r="D714" s="179"/>
      <c r="E714" s="179"/>
      <c r="F714" s="179"/>
      <c r="G714" s="179"/>
      <c r="H714" s="179"/>
      <c r="I714" s="181"/>
      <c r="J714" s="179"/>
      <c r="K714" s="179"/>
      <c r="L714" s="182"/>
      <c r="M714" s="182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32"/>
      <c r="Z714" s="179"/>
      <c r="AA714" s="179"/>
      <c r="AB714" s="179"/>
      <c r="AC714" s="179"/>
      <c r="AD714" s="132"/>
      <c r="AE714" s="179"/>
      <c r="AF714" s="179"/>
    </row>
    <row r="715" ht="12.75" customHeight="1" spans="1:32" x14ac:dyDescent="0.25">
      <c r="A715" s="179"/>
      <c r="B715" s="179"/>
      <c r="C715" s="179"/>
      <c r="D715" s="179"/>
      <c r="E715" s="179"/>
      <c r="F715" s="179"/>
      <c r="G715" s="179"/>
      <c r="H715" s="179"/>
      <c r="I715" s="181"/>
      <c r="J715" s="179"/>
      <c r="K715" s="179"/>
      <c r="L715" s="182"/>
      <c r="M715" s="182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32"/>
      <c r="Z715" s="179"/>
      <c r="AA715" s="179"/>
      <c r="AB715" s="179"/>
      <c r="AC715" s="179"/>
      <c r="AD715" s="132"/>
      <c r="AE715" s="179"/>
      <c r="AF715" s="179"/>
    </row>
    <row r="716" ht="12.75" customHeight="1" spans="1:32" x14ac:dyDescent="0.25">
      <c r="A716" s="179"/>
      <c r="B716" s="179"/>
      <c r="C716" s="179"/>
      <c r="D716" s="179"/>
      <c r="E716" s="179"/>
      <c r="F716" s="179"/>
      <c r="G716" s="179"/>
      <c r="H716" s="179"/>
      <c r="I716" s="181"/>
      <c r="J716" s="179"/>
      <c r="K716" s="179"/>
      <c r="L716" s="182"/>
      <c r="M716" s="182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32"/>
      <c r="Z716" s="179"/>
      <c r="AA716" s="179"/>
      <c r="AB716" s="179"/>
      <c r="AC716" s="179"/>
      <c r="AD716" s="132"/>
      <c r="AE716" s="179"/>
      <c r="AF716" s="179"/>
    </row>
    <row r="717" ht="12.75" customHeight="1" spans="1:32" x14ac:dyDescent="0.25">
      <c r="A717" s="179"/>
      <c r="B717" s="179"/>
      <c r="C717" s="179"/>
      <c r="D717" s="179"/>
      <c r="E717" s="179"/>
      <c r="F717" s="179"/>
      <c r="G717" s="179"/>
      <c r="H717" s="179"/>
      <c r="I717" s="181"/>
      <c r="J717" s="179"/>
      <c r="K717" s="179"/>
      <c r="L717" s="182"/>
      <c r="M717" s="182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32"/>
      <c r="Z717" s="179"/>
      <c r="AA717" s="179"/>
      <c r="AB717" s="179"/>
      <c r="AC717" s="179"/>
      <c r="AD717" s="132"/>
      <c r="AE717" s="179"/>
      <c r="AF717" s="179"/>
    </row>
    <row r="718" ht="12.75" customHeight="1" spans="1:32" x14ac:dyDescent="0.25">
      <c r="A718" s="179"/>
      <c r="B718" s="179"/>
      <c r="C718" s="179"/>
      <c r="D718" s="179"/>
      <c r="E718" s="179"/>
      <c r="F718" s="179"/>
      <c r="G718" s="179"/>
      <c r="H718" s="179"/>
      <c r="I718" s="181"/>
      <c r="J718" s="179"/>
      <c r="K718" s="179"/>
      <c r="L718" s="182"/>
      <c r="M718" s="182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32"/>
      <c r="Z718" s="179"/>
      <c r="AA718" s="179"/>
      <c r="AB718" s="179"/>
      <c r="AC718" s="179"/>
      <c r="AD718" s="132"/>
      <c r="AE718" s="179"/>
      <c r="AF718" s="179"/>
    </row>
    <row r="719" ht="12.75" customHeight="1" spans="1:32" x14ac:dyDescent="0.25">
      <c r="A719" s="179"/>
      <c r="B719" s="179"/>
      <c r="C719" s="179"/>
      <c r="D719" s="179"/>
      <c r="E719" s="179"/>
      <c r="F719" s="179"/>
      <c r="G719" s="179"/>
      <c r="H719" s="179"/>
      <c r="I719" s="181"/>
      <c r="J719" s="179"/>
      <c r="K719" s="179"/>
      <c r="L719" s="182"/>
      <c r="M719" s="182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32"/>
      <c r="Z719" s="179"/>
      <c r="AA719" s="179"/>
      <c r="AB719" s="179"/>
      <c r="AC719" s="179"/>
      <c r="AD719" s="132"/>
      <c r="AE719" s="179"/>
      <c r="AF719" s="179"/>
    </row>
    <row r="720" ht="12.75" customHeight="1" spans="1:32" x14ac:dyDescent="0.25">
      <c r="A720" s="179"/>
      <c r="B720" s="179"/>
      <c r="C720" s="179"/>
      <c r="D720" s="179"/>
      <c r="E720" s="179"/>
      <c r="F720" s="179"/>
      <c r="G720" s="179"/>
      <c r="H720" s="179"/>
      <c r="I720" s="181"/>
      <c r="J720" s="179"/>
      <c r="K720" s="179"/>
      <c r="L720" s="182"/>
      <c r="M720" s="182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32"/>
      <c r="Z720" s="179"/>
      <c r="AA720" s="179"/>
      <c r="AB720" s="179"/>
      <c r="AC720" s="179"/>
      <c r="AD720" s="132"/>
      <c r="AE720" s="179"/>
      <c r="AF720" s="179"/>
    </row>
    <row r="721" ht="12.75" customHeight="1" spans="1:32" x14ac:dyDescent="0.25">
      <c r="A721" s="179"/>
      <c r="B721" s="179"/>
      <c r="C721" s="179"/>
      <c r="D721" s="179"/>
      <c r="E721" s="179"/>
      <c r="F721" s="179"/>
      <c r="G721" s="179"/>
      <c r="H721" s="179"/>
      <c r="I721" s="181"/>
      <c r="J721" s="179"/>
      <c r="K721" s="179"/>
      <c r="L721" s="182"/>
      <c r="M721" s="182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32"/>
      <c r="Z721" s="179"/>
      <c r="AA721" s="179"/>
      <c r="AB721" s="179"/>
      <c r="AC721" s="179"/>
      <c r="AD721" s="132"/>
      <c r="AE721" s="179"/>
      <c r="AF721" s="179"/>
    </row>
    <row r="722" ht="12.75" customHeight="1" spans="1:32" x14ac:dyDescent="0.25">
      <c r="A722" s="179"/>
      <c r="B722" s="179"/>
      <c r="C722" s="179"/>
      <c r="D722" s="179"/>
      <c r="E722" s="179"/>
      <c r="F722" s="179"/>
      <c r="G722" s="179"/>
      <c r="H722" s="179"/>
      <c r="I722" s="181"/>
      <c r="J722" s="179"/>
      <c r="K722" s="179"/>
      <c r="L722" s="182"/>
      <c r="M722" s="182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32"/>
      <c r="Z722" s="179"/>
      <c r="AA722" s="179"/>
      <c r="AB722" s="179"/>
      <c r="AC722" s="179"/>
      <c r="AD722" s="132"/>
      <c r="AE722" s="179"/>
      <c r="AF722" s="179"/>
    </row>
    <row r="723" ht="12.75" customHeight="1" spans="1:32" x14ac:dyDescent="0.25">
      <c r="A723" s="179"/>
      <c r="B723" s="179"/>
      <c r="C723" s="179"/>
      <c r="D723" s="179"/>
      <c r="E723" s="179"/>
      <c r="F723" s="179"/>
      <c r="G723" s="179"/>
      <c r="H723" s="179"/>
      <c r="I723" s="181"/>
      <c r="J723" s="179"/>
      <c r="K723" s="179"/>
      <c r="L723" s="182"/>
      <c r="M723" s="182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32"/>
      <c r="Z723" s="179"/>
      <c r="AA723" s="179"/>
      <c r="AB723" s="179"/>
      <c r="AC723" s="179"/>
      <c r="AD723" s="132"/>
      <c r="AE723" s="179"/>
      <c r="AF723" s="179"/>
    </row>
    <row r="724" ht="12.75" customHeight="1" spans="1:32" x14ac:dyDescent="0.25">
      <c r="A724" s="179"/>
      <c r="B724" s="179"/>
      <c r="C724" s="179"/>
      <c r="D724" s="179"/>
      <c r="E724" s="179"/>
      <c r="F724" s="179"/>
      <c r="G724" s="179"/>
      <c r="H724" s="179"/>
      <c r="I724" s="181"/>
      <c r="J724" s="179"/>
      <c r="K724" s="179"/>
      <c r="L724" s="182"/>
      <c r="M724" s="182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32"/>
      <c r="Z724" s="179"/>
      <c r="AA724" s="179"/>
      <c r="AB724" s="179"/>
      <c r="AC724" s="179"/>
      <c r="AD724" s="132"/>
      <c r="AE724" s="179"/>
      <c r="AF724" s="179"/>
    </row>
    <row r="725" ht="12.75" customHeight="1" spans="1:32" x14ac:dyDescent="0.25">
      <c r="A725" s="179"/>
      <c r="B725" s="179"/>
      <c r="C725" s="179"/>
      <c r="D725" s="179"/>
      <c r="E725" s="179"/>
      <c r="F725" s="179"/>
      <c r="G725" s="179"/>
      <c r="H725" s="179"/>
      <c r="I725" s="181"/>
      <c r="J725" s="179"/>
      <c r="K725" s="179"/>
      <c r="L725" s="182"/>
      <c r="M725" s="182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32"/>
      <c r="Z725" s="179"/>
      <c r="AA725" s="179"/>
      <c r="AB725" s="179"/>
      <c r="AC725" s="179"/>
      <c r="AD725" s="132"/>
      <c r="AE725" s="179"/>
      <c r="AF725" s="179"/>
    </row>
    <row r="726" ht="12.75" customHeight="1" spans="1:32" x14ac:dyDescent="0.25">
      <c r="A726" s="179"/>
      <c r="B726" s="179"/>
      <c r="C726" s="179"/>
      <c r="D726" s="179"/>
      <c r="E726" s="179"/>
      <c r="F726" s="179"/>
      <c r="G726" s="179"/>
      <c r="H726" s="179"/>
      <c r="I726" s="181"/>
      <c r="J726" s="179"/>
      <c r="K726" s="179"/>
      <c r="L726" s="182"/>
      <c r="M726" s="182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32"/>
      <c r="Z726" s="179"/>
      <c r="AA726" s="179"/>
      <c r="AB726" s="179"/>
      <c r="AC726" s="179"/>
      <c r="AD726" s="132"/>
      <c r="AE726" s="179"/>
      <c r="AF726" s="179"/>
    </row>
    <row r="727" ht="12.75" customHeight="1" spans="1:32" x14ac:dyDescent="0.25">
      <c r="A727" s="179"/>
      <c r="B727" s="179"/>
      <c r="C727" s="179"/>
      <c r="D727" s="179"/>
      <c r="E727" s="179"/>
      <c r="F727" s="179"/>
      <c r="G727" s="179"/>
      <c r="H727" s="179"/>
      <c r="I727" s="181"/>
      <c r="J727" s="179"/>
      <c r="K727" s="179"/>
      <c r="L727" s="182"/>
      <c r="M727" s="182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32"/>
      <c r="Z727" s="179"/>
      <c r="AA727" s="179"/>
      <c r="AB727" s="179"/>
      <c r="AC727" s="179"/>
      <c r="AD727" s="132"/>
      <c r="AE727" s="179"/>
      <c r="AF727" s="179"/>
    </row>
    <row r="728" ht="12.75" customHeight="1" spans="1:32" x14ac:dyDescent="0.25">
      <c r="A728" s="179"/>
      <c r="B728" s="179"/>
      <c r="C728" s="179"/>
      <c r="D728" s="179"/>
      <c r="E728" s="179"/>
      <c r="F728" s="179"/>
      <c r="G728" s="179"/>
      <c r="H728" s="179"/>
      <c r="I728" s="181"/>
      <c r="J728" s="179"/>
      <c r="K728" s="179"/>
      <c r="L728" s="182"/>
      <c r="M728" s="182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32"/>
      <c r="Z728" s="179"/>
      <c r="AA728" s="179"/>
      <c r="AB728" s="179"/>
      <c r="AC728" s="179"/>
      <c r="AD728" s="132"/>
      <c r="AE728" s="179"/>
      <c r="AF728" s="179"/>
    </row>
    <row r="729" ht="12.75" customHeight="1" spans="1:32" x14ac:dyDescent="0.25">
      <c r="A729" s="179"/>
      <c r="B729" s="179"/>
      <c r="C729" s="179"/>
      <c r="D729" s="179"/>
      <c r="E729" s="179"/>
      <c r="F729" s="179"/>
      <c r="G729" s="179"/>
      <c r="H729" s="179"/>
      <c r="I729" s="181"/>
      <c r="J729" s="179"/>
      <c r="K729" s="179"/>
      <c r="L729" s="182"/>
      <c r="M729" s="182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32"/>
      <c r="Z729" s="179"/>
      <c r="AA729" s="179"/>
      <c r="AB729" s="179"/>
      <c r="AC729" s="179"/>
      <c r="AD729" s="132"/>
      <c r="AE729" s="179"/>
      <c r="AF729" s="179"/>
    </row>
    <row r="730" ht="12.75" customHeight="1" spans="1:32" x14ac:dyDescent="0.25">
      <c r="A730" s="179"/>
      <c r="B730" s="179"/>
      <c r="C730" s="179"/>
      <c r="D730" s="179"/>
      <c r="E730" s="179"/>
      <c r="F730" s="179"/>
      <c r="G730" s="179"/>
      <c r="H730" s="179"/>
      <c r="I730" s="181"/>
      <c r="J730" s="179"/>
      <c r="K730" s="179"/>
      <c r="L730" s="182"/>
      <c r="M730" s="182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32"/>
      <c r="Z730" s="179"/>
      <c r="AA730" s="179"/>
      <c r="AB730" s="179"/>
      <c r="AC730" s="179"/>
      <c r="AD730" s="132"/>
      <c r="AE730" s="179"/>
      <c r="AF730" s="179"/>
    </row>
    <row r="731" ht="12.75" customHeight="1" spans="1:32" x14ac:dyDescent="0.25">
      <c r="A731" s="179"/>
      <c r="B731" s="179"/>
      <c r="C731" s="179"/>
      <c r="D731" s="179"/>
      <c r="E731" s="179"/>
      <c r="F731" s="179"/>
      <c r="G731" s="179"/>
      <c r="H731" s="179"/>
      <c r="I731" s="181"/>
      <c r="J731" s="179"/>
      <c r="K731" s="179"/>
      <c r="L731" s="182"/>
      <c r="M731" s="182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32"/>
      <c r="Z731" s="179"/>
      <c r="AA731" s="179"/>
      <c r="AB731" s="179"/>
      <c r="AC731" s="179"/>
      <c r="AD731" s="132"/>
      <c r="AE731" s="179"/>
      <c r="AF731" s="179"/>
    </row>
    <row r="732" ht="12.75" customHeight="1" spans="1:32" x14ac:dyDescent="0.25">
      <c r="A732" s="179"/>
      <c r="B732" s="179"/>
      <c r="C732" s="179"/>
      <c r="D732" s="179"/>
      <c r="E732" s="179"/>
      <c r="F732" s="179"/>
      <c r="G732" s="179"/>
      <c r="H732" s="179"/>
      <c r="I732" s="181"/>
      <c r="J732" s="179"/>
      <c r="K732" s="179"/>
      <c r="L732" s="182"/>
      <c r="M732" s="182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32"/>
      <c r="Z732" s="179"/>
      <c r="AA732" s="179"/>
      <c r="AB732" s="179"/>
      <c r="AC732" s="179"/>
      <c r="AD732" s="132"/>
      <c r="AE732" s="179"/>
      <c r="AF732" s="179"/>
    </row>
    <row r="733" ht="12.75" customHeight="1" spans="1:32" x14ac:dyDescent="0.25">
      <c r="A733" s="179"/>
      <c r="B733" s="179"/>
      <c r="C733" s="179"/>
      <c r="D733" s="179"/>
      <c r="E733" s="179"/>
      <c r="F733" s="179"/>
      <c r="G733" s="179"/>
      <c r="H733" s="179"/>
      <c r="I733" s="181"/>
      <c r="J733" s="179"/>
      <c r="K733" s="179"/>
      <c r="L733" s="182"/>
      <c r="M733" s="182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32"/>
      <c r="Z733" s="179"/>
      <c r="AA733" s="179"/>
      <c r="AB733" s="179"/>
      <c r="AC733" s="179"/>
      <c r="AD733" s="132"/>
      <c r="AE733" s="179"/>
      <c r="AF733" s="179"/>
    </row>
    <row r="734" ht="12.75" customHeight="1" spans="1:32" x14ac:dyDescent="0.25">
      <c r="A734" s="179"/>
      <c r="B734" s="179"/>
      <c r="C734" s="179"/>
      <c r="D734" s="179"/>
      <c r="E734" s="179"/>
      <c r="F734" s="179"/>
      <c r="G734" s="179"/>
      <c r="H734" s="179"/>
      <c r="I734" s="181"/>
      <c r="J734" s="179"/>
      <c r="K734" s="179"/>
      <c r="L734" s="182"/>
      <c r="M734" s="182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32"/>
      <c r="Z734" s="179"/>
      <c r="AA734" s="179"/>
      <c r="AB734" s="179"/>
      <c r="AC734" s="179"/>
      <c r="AD734" s="132"/>
      <c r="AE734" s="179"/>
      <c r="AF734" s="179"/>
    </row>
    <row r="735" ht="12.75" customHeight="1" spans="1:32" x14ac:dyDescent="0.25">
      <c r="A735" s="179"/>
      <c r="B735" s="179"/>
      <c r="C735" s="179"/>
      <c r="D735" s="179"/>
      <c r="E735" s="179"/>
      <c r="F735" s="179"/>
      <c r="G735" s="179"/>
      <c r="H735" s="179"/>
      <c r="I735" s="181"/>
      <c r="J735" s="179"/>
      <c r="K735" s="179"/>
      <c r="L735" s="182"/>
      <c r="M735" s="182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32"/>
      <c r="Z735" s="179"/>
      <c r="AA735" s="179"/>
      <c r="AB735" s="179"/>
      <c r="AC735" s="179"/>
      <c r="AD735" s="132"/>
      <c r="AE735" s="179"/>
      <c r="AF735" s="179"/>
    </row>
    <row r="736" ht="12.75" customHeight="1" spans="1:32" x14ac:dyDescent="0.25">
      <c r="A736" s="179"/>
      <c r="B736" s="179"/>
      <c r="C736" s="179"/>
      <c r="D736" s="179"/>
      <c r="E736" s="179"/>
      <c r="F736" s="179"/>
      <c r="G736" s="179"/>
      <c r="H736" s="179"/>
      <c r="I736" s="181"/>
      <c r="J736" s="179"/>
      <c r="K736" s="179"/>
      <c r="L736" s="182"/>
      <c r="M736" s="182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32"/>
      <c r="Z736" s="179"/>
      <c r="AA736" s="179"/>
      <c r="AB736" s="179"/>
      <c r="AC736" s="179"/>
      <c r="AD736" s="132"/>
      <c r="AE736" s="179"/>
      <c r="AF736" s="179"/>
    </row>
    <row r="737" ht="12.75" customHeight="1" spans="1:32" x14ac:dyDescent="0.25">
      <c r="A737" s="179"/>
      <c r="B737" s="179"/>
      <c r="C737" s="179"/>
      <c r="D737" s="179"/>
      <c r="E737" s="179"/>
      <c r="F737" s="179"/>
      <c r="G737" s="179"/>
      <c r="H737" s="179"/>
      <c r="I737" s="181"/>
      <c r="J737" s="179"/>
      <c r="K737" s="179"/>
      <c r="L737" s="182"/>
      <c r="M737" s="182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32"/>
      <c r="Z737" s="179"/>
      <c r="AA737" s="179"/>
      <c r="AB737" s="179"/>
      <c r="AC737" s="179"/>
      <c r="AD737" s="132"/>
      <c r="AE737" s="179"/>
      <c r="AF737" s="179"/>
    </row>
    <row r="738" ht="12.75" customHeight="1" spans="1:32" x14ac:dyDescent="0.25">
      <c r="A738" s="179"/>
      <c r="B738" s="179"/>
      <c r="C738" s="179"/>
      <c r="D738" s="179"/>
      <c r="E738" s="179"/>
      <c r="F738" s="179"/>
      <c r="G738" s="179"/>
      <c r="H738" s="179"/>
      <c r="I738" s="181"/>
      <c r="J738" s="179"/>
      <c r="K738" s="179"/>
      <c r="L738" s="182"/>
      <c r="M738" s="182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32"/>
      <c r="Z738" s="179"/>
      <c r="AA738" s="179"/>
      <c r="AB738" s="179"/>
      <c r="AC738" s="179"/>
      <c r="AD738" s="132"/>
      <c r="AE738" s="179"/>
      <c r="AF738" s="179"/>
    </row>
    <row r="739" ht="12.75" customHeight="1" spans="1:32" x14ac:dyDescent="0.25">
      <c r="A739" s="179"/>
      <c r="B739" s="179"/>
      <c r="C739" s="179"/>
      <c r="D739" s="179"/>
      <c r="E739" s="179"/>
      <c r="F739" s="179"/>
      <c r="G739" s="179"/>
      <c r="H739" s="179"/>
      <c r="I739" s="181"/>
      <c r="J739" s="179"/>
      <c r="K739" s="179"/>
      <c r="L739" s="182"/>
      <c r="M739" s="182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32"/>
      <c r="Z739" s="179"/>
      <c r="AA739" s="179"/>
      <c r="AB739" s="179"/>
      <c r="AC739" s="179"/>
      <c r="AD739" s="132"/>
      <c r="AE739" s="179"/>
      <c r="AF739" s="179"/>
    </row>
    <row r="740" ht="12.75" customHeight="1" spans="1:32" x14ac:dyDescent="0.25">
      <c r="A740" s="179"/>
      <c r="B740" s="179"/>
      <c r="C740" s="179"/>
      <c r="D740" s="179"/>
      <c r="E740" s="179"/>
      <c r="F740" s="179"/>
      <c r="G740" s="179"/>
      <c r="H740" s="179"/>
      <c r="I740" s="181"/>
      <c r="J740" s="179"/>
      <c r="K740" s="179"/>
      <c r="L740" s="182"/>
      <c r="M740" s="182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32"/>
      <c r="Z740" s="179"/>
      <c r="AA740" s="179"/>
      <c r="AB740" s="179"/>
      <c r="AC740" s="179"/>
      <c r="AD740" s="132"/>
      <c r="AE740" s="179"/>
      <c r="AF740" s="179"/>
    </row>
    <row r="741" ht="12.75" customHeight="1" spans="1:32" x14ac:dyDescent="0.25">
      <c r="A741" s="179"/>
      <c r="B741" s="179"/>
      <c r="C741" s="179"/>
      <c r="D741" s="179"/>
      <c r="E741" s="179"/>
      <c r="F741" s="179"/>
      <c r="G741" s="179"/>
      <c r="H741" s="179"/>
      <c r="I741" s="181"/>
      <c r="J741" s="179"/>
      <c r="K741" s="179"/>
      <c r="L741" s="182"/>
      <c r="M741" s="182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32"/>
      <c r="Z741" s="179"/>
      <c r="AA741" s="179"/>
      <c r="AB741" s="179"/>
      <c r="AC741" s="179"/>
      <c r="AD741" s="132"/>
      <c r="AE741" s="179"/>
      <c r="AF741" s="179"/>
    </row>
    <row r="742" ht="12.75" customHeight="1" spans="1:32" x14ac:dyDescent="0.25">
      <c r="A742" s="179"/>
      <c r="B742" s="179"/>
      <c r="C742" s="179"/>
      <c r="D742" s="179"/>
      <c r="E742" s="179"/>
      <c r="F742" s="179"/>
      <c r="G742" s="179"/>
      <c r="H742" s="179"/>
      <c r="I742" s="181"/>
      <c r="J742" s="179"/>
      <c r="K742" s="179"/>
      <c r="L742" s="182"/>
      <c r="M742" s="182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32"/>
      <c r="Z742" s="179"/>
      <c r="AA742" s="179"/>
      <c r="AB742" s="179"/>
      <c r="AC742" s="179"/>
      <c r="AD742" s="132"/>
      <c r="AE742" s="179"/>
      <c r="AF742" s="179"/>
    </row>
    <row r="743" ht="12.75" customHeight="1" spans="1:32" x14ac:dyDescent="0.25">
      <c r="A743" s="179"/>
      <c r="B743" s="179"/>
      <c r="C743" s="179"/>
      <c r="D743" s="179"/>
      <c r="E743" s="179"/>
      <c r="F743" s="179"/>
      <c r="G743" s="179"/>
      <c r="H743" s="179"/>
      <c r="I743" s="181"/>
      <c r="J743" s="179"/>
      <c r="K743" s="179"/>
      <c r="L743" s="182"/>
      <c r="M743" s="182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32"/>
      <c r="Z743" s="179"/>
      <c r="AA743" s="179"/>
      <c r="AB743" s="179"/>
      <c r="AC743" s="179"/>
      <c r="AD743" s="132"/>
      <c r="AE743" s="179"/>
      <c r="AF743" s="179"/>
    </row>
    <row r="744" ht="12.75" customHeight="1" spans="1:32" x14ac:dyDescent="0.25">
      <c r="A744" s="179"/>
      <c r="B744" s="179"/>
      <c r="C744" s="179"/>
      <c r="D744" s="179"/>
      <c r="E744" s="179"/>
      <c r="F744" s="179"/>
      <c r="G744" s="179"/>
      <c r="H744" s="179"/>
      <c r="I744" s="181"/>
      <c r="J744" s="179"/>
      <c r="K744" s="179"/>
      <c r="L744" s="182"/>
      <c r="M744" s="182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32"/>
      <c r="Z744" s="179"/>
      <c r="AA744" s="179"/>
      <c r="AB744" s="179"/>
      <c r="AC744" s="179"/>
      <c r="AD744" s="132"/>
      <c r="AE744" s="179"/>
      <c r="AF744" s="179"/>
    </row>
    <row r="745" ht="12.75" customHeight="1" spans="1:32" x14ac:dyDescent="0.25">
      <c r="A745" s="179"/>
      <c r="B745" s="179"/>
      <c r="C745" s="179"/>
      <c r="D745" s="179"/>
      <c r="E745" s="179"/>
      <c r="F745" s="179"/>
      <c r="G745" s="179"/>
      <c r="H745" s="179"/>
      <c r="I745" s="181"/>
      <c r="J745" s="179"/>
      <c r="K745" s="179"/>
      <c r="L745" s="182"/>
      <c r="M745" s="182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32"/>
      <c r="Z745" s="179"/>
      <c r="AA745" s="179"/>
      <c r="AB745" s="179"/>
      <c r="AC745" s="179"/>
      <c r="AD745" s="132"/>
      <c r="AE745" s="179"/>
      <c r="AF745" s="179"/>
    </row>
    <row r="746" ht="12.75" customHeight="1" spans="1:32" x14ac:dyDescent="0.25">
      <c r="A746" s="179"/>
      <c r="B746" s="179"/>
      <c r="C746" s="179"/>
      <c r="D746" s="179"/>
      <c r="E746" s="179"/>
      <c r="F746" s="179"/>
      <c r="G746" s="179"/>
      <c r="H746" s="179"/>
      <c r="I746" s="181"/>
      <c r="J746" s="179"/>
      <c r="K746" s="179"/>
      <c r="L746" s="182"/>
      <c r="M746" s="182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32"/>
      <c r="Z746" s="179"/>
      <c r="AA746" s="179"/>
      <c r="AB746" s="179"/>
      <c r="AC746" s="179"/>
      <c r="AD746" s="132"/>
      <c r="AE746" s="179"/>
      <c r="AF746" s="179"/>
    </row>
    <row r="747" ht="12.75" customHeight="1" spans="1:32" x14ac:dyDescent="0.25">
      <c r="A747" s="179"/>
      <c r="B747" s="179"/>
      <c r="C747" s="179"/>
      <c r="D747" s="179"/>
      <c r="E747" s="179"/>
      <c r="F747" s="179"/>
      <c r="G747" s="179"/>
      <c r="H747" s="179"/>
      <c r="I747" s="181"/>
      <c r="J747" s="179"/>
      <c r="K747" s="179"/>
      <c r="L747" s="182"/>
      <c r="M747" s="182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32"/>
      <c r="Z747" s="179"/>
      <c r="AA747" s="179"/>
      <c r="AB747" s="179"/>
      <c r="AC747" s="179"/>
      <c r="AD747" s="132"/>
      <c r="AE747" s="179"/>
      <c r="AF747" s="179"/>
    </row>
    <row r="748" ht="12.75" customHeight="1" spans="1:32" x14ac:dyDescent="0.25">
      <c r="A748" s="179"/>
      <c r="B748" s="179"/>
      <c r="C748" s="179"/>
      <c r="D748" s="179"/>
      <c r="E748" s="179"/>
      <c r="F748" s="179"/>
      <c r="G748" s="179"/>
      <c r="H748" s="179"/>
      <c r="I748" s="181"/>
      <c r="J748" s="179"/>
      <c r="K748" s="179"/>
      <c r="L748" s="182"/>
      <c r="M748" s="182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32"/>
      <c r="Z748" s="179"/>
      <c r="AA748" s="179"/>
      <c r="AB748" s="179"/>
      <c r="AC748" s="179"/>
      <c r="AD748" s="132"/>
      <c r="AE748" s="179"/>
      <c r="AF748" s="179"/>
    </row>
    <row r="749" ht="12.75" customHeight="1" spans="1:32" x14ac:dyDescent="0.25">
      <c r="A749" s="179"/>
      <c r="B749" s="179"/>
      <c r="C749" s="179"/>
      <c r="D749" s="179"/>
      <c r="E749" s="179"/>
      <c r="F749" s="179"/>
      <c r="G749" s="179"/>
      <c r="H749" s="179"/>
      <c r="I749" s="181"/>
      <c r="J749" s="179"/>
      <c r="K749" s="179"/>
      <c r="L749" s="182"/>
      <c r="M749" s="182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32"/>
      <c r="Z749" s="179"/>
      <c r="AA749" s="179"/>
      <c r="AB749" s="179"/>
      <c r="AC749" s="179"/>
      <c r="AD749" s="132"/>
      <c r="AE749" s="179"/>
      <c r="AF749" s="179"/>
    </row>
    <row r="750" ht="12.75" customHeight="1" spans="1:32" x14ac:dyDescent="0.25">
      <c r="A750" s="179"/>
      <c r="B750" s="179"/>
      <c r="C750" s="179"/>
      <c r="D750" s="179"/>
      <c r="E750" s="179"/>
      <c r="F750" s="179"/>
      <c r="G750" s="179"/>
      <c r="H750" s="179"/>
      <c r="I750" s="181"/>
      <c r="J750" s="179"/>
      <c r="K750" s="179"/>
      <c r="L750" s="182"/>
      <c r="M750" s="182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32"/>
      <c r="Z750" s="179"/>
      <c r="AA750" s="179"/>
      <c r="AB750" s="179"/>
      <c r="AC750" s="179"/>
      <c r="AD750" s="132"/>
      <c r="AE750" s="179"/>
      <c r="AF750" s="179"/>
    </row>
    <row r="751" ht="12.75" customHeight="1" spans="1:32" x14ac:dyDescent="0.25">
      <c r="A751" s="179"/>
      <c r="B751" s="179"/>
      <c r="C751" s="179"/>
      <c r="D751" s="179"/>
      <c r="E751" s="179"/>
      <c r="F751" s="179"/>
      <c r="G751" s="179"/>
      <c r="H751" s="179"/>
      <c r="I751" s="181"/>
      <c r="J751" s="179"/>
      <c r="K751" s="179"/>
      <c r="L751" s="182"/>
      <c r="M751" s="182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32"/>
      <c r="Z751" s="179"/>
      <c r="AA751" s="179"/>
      <c r="AB751" s="179"/>
      <c r="AC751" s="179"/>
      <c r="AD751" s="132"/>
      <c r="AE751" s="179"/>
      <c r="AF751" s="179"/>
    </row>
    <row r="752" ht="12.75" customHeight="1" spans="1:32" x14ac:dyDescent="0.25">
      <c r="A752" s="179"/>
      <c r="B752" s="179"/>
      <c r="C752" s="179"/>
      <c r="D752" s="179"/>
      <c r="E752" s="179"/>
      <c r="F752" s="179"/>
      <c r="G752" s="179"/>
      <c r="H752" s="179"/>
      <c r="I752" s="181"/>
      <c r="J752" s="179"/>
      <c r="K752" s="179"/>
      <c r="L752" s="182"/>
      <c r="M752" s="182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32"/>
      <c r="Z752" s="179"/>
      <c r="AA752" s="179"/>
      <c r="AB752" s="179"/>
      <c r="AC752" s="179"/>
      <c r="AD752" s="132"/>
      <c r="AE752" s="179"/>
      <c r="AF752" s="179"/>
    </row>
    <row r="753" ht="12.75" customHeight="1" spans="1:32" x14ac:dyDescent="0.25">
      <c r="A753" s="179"/>
      <c r="B753" s="179"/>
      <c r="C753" s="179"/>
      <c r="D753" s="179"/>
      <c r="E753" s="179"/>
      <c r="F753" s="179"/>
      <c r="G753" s="179"/>
      <c r="H753" s="179"/>
      <c r="I753" s="181"/>
      <c r="J753" s="179"/>
      <c r="K753" s="179"/>
      <c r="L753" s="182"/>
      <c r="M753" s="182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32"/>
      <c r="Z753" s="179"/>
      <c r="AA753" s="179"/>
      <c r="AB753" s="179"/>
      <c r="AC753" s="179"/>
      <c r="AD753" s="132"/>
      <c r="AE753" s="179"/>
      <c r="AF753" s="179"/>
    </row>
    <row r="754" ht="12.75" customHeight="1" spans="1:32" x14ac:dyDescent="0.25">
      <c r="A754" s="179"/>
      <c r="B754" s="179"/>
      <c r="C754" s="179"/>
      <c r="D754" s="179"/>
      <c r="E754" s="179"/>
      <c r="F754" s="179"/>
      <c r="G754" s="179"/>
      <c r="H754" s="179"/>
      <c r="I754" s="181"/>
      <c r="J754" s="179"/>
      <c r="K754" s="179"/>
      <c r="L754" s="182"/>
      <c r="M754" s="182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32"/>
      <c r="Z754" s="179"/>
      <c r="AA754" s="179"/>
      <c r="AB754" s="179"/>
      <c r="AC754" s="179"/>
      <c r="AD754" s="132"/>
      <c r="AE754" s="179"/>
      <c r="AF754" s="179"/>
    </row>
    <row r="755" ht="12.75" customHeight="1" spans="1:32" x14ac:dyDescent="0.25">
      <c r="A755" s="179"/>
      <c r="B755" s="179"/>
      <c r="C755" s="179"/>
      <c r="D755" s="179"/>
      <c r="E755" s="179"/>
      <c r="F755" s="179"/>
      <c r="G755" s="179"/>
      <c r="H755" s="179"/>
      <c r="I755" s="181"/>
      <c r="J755" s="179"/>
      <c r="K755" s="179"/>
      <c r="L755" s="182"/>
      <c r="M755" s="182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32"/>
      <c r="Z755" s="179"/>
      <c r="AA755" s="179"/>
      <c r="AB755" s="179"/>
      <c r="AC755" s="179"/>
      <c r="AD755" s="132"/>
      <c r="AE755" s="179"/>
      <c r="AF755" s="179"/>
    </row>
    <row r="756" ht="12.75" customHeight="1" spans="1:32" x14ac:dyDescent="0.25">
      <c r="A756" s="179"/>
      <c r="B756" s="179"/>
      <c r="C756" s="179"/>
      <c r="D756" s="179"/>
      <c r="E756" s="179"/>
      <c r="F756" s="179"/>
      <c r="G756" s="179"/>
      <c r="H756" s="179"/>
      <c r="I756" s="181"/>
      <c r="J756" s="179"/>
      <c r="K756" s="179"/>
      <c r="L756" s="182"/>
      <c r="M756" s="182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32"/>
      <c r="Z756" s="179"/>
      <c r="AA756" s="179"/>
      <c r="AB756" s="179"/>
      <c r="AC756" s="179"/>
      <c r="AD756" s="132"/>
      <c r="AE756" s="179"/>
      <c r="AF756" s="179"/>
    </row>
    <row r="757" ht="12.75" customHeight="1" spans="1:32" x14ac:dyDescent="0.25">
      <c r="A757" s="179"/>
      <c r="B757" s="179"/>
      <c r="C757" s="179"/>
      <c r="D757" s="179"/>
      <c r="E757" s="179"/>
      <c r="F757" s="179"/>
      <c r="G757" s="179"/>
      <c r="H757" s="179"/>
      <c r="I757" s="181"/>
      <c r="J757" s="179"/>
      <c r="K757" s="179"/>
      <c r="L757" s="182"/>
      <c r="M757" s="182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32"/>
      <c r="Z757" s="179"/>
      <c r="AA757" s="179"/>
      <c r="AB757" s="179"/>
      <c r="AC757" s="179"/>
      <c r="AD757" s="132"/>
      <c r="AE757" s="179"/>
      <c r="AF757" s="179"/>
    </row>
    <row r="758" ht="12.75" customHeight="1" spans="1:32" x14ac:dyDescent="0.25">
      <c r="A758" s="179"/>
      <c r="B758" s="179"/>
      <c r="C758" s="179"/>
      <c r="D758" s="179"/>
      <c r="E758" s="179"/>
      <c r="F758" s="179"/>
      <c r="G758" s="179"/>
      <c r="H758" s="179"/>
      <c r="I758" s="181"/>
      <c r="J758" s="179"/>
      <c r="K758" s="179"/>
      <c r="L758" s="182"/>
      <c r="M758" s="182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32"/>
      <c r="Z758" s="179"/>
      <c r="AA758" s="179"/>
      <c r="AB758" s="179"/>
      <c r="AC758" s="179"/>
      <c r="AD758" s="132"/>
      <c r="AE758" s="179"/>
      <c r="AF758" s="179"/>
    </row>
    <row r="759" ht="12.75" customHeight="1" spans="1:32" x14ac:dyDescent="0.25">
      <c r="A759" s="179"/>
      <c r="B759" s="179"/>
      <c r="C759" s="179"/>
      <c r="D759" s="179"/>
      <c r="E759" s="179"/>
      <c r="F759" s="179"/>
      <c r="G759" s="179"/>
      <c r="H759" s="179"/>
      <c r="I759" s="181"/>
      <c r="J759" s="179"/>
      <c r="K759" s="179"/>
      <c r="L759" s="182"/>
      <c r="M759" s="182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32"/>
      <c r="Z759" s="179"/>
      <c r="AA759" s="179"/>
      <c r="AB759" s="179"/>
      <c r="AC759" s="179"/>
      <c r="AD759" s="132"/>
      <c r="AE759" s="179"/>
      <c r="AF759" s="179"/>
    </row>
    <row r="760" ht="12.75" customHeight="1" spans="1:32" x14ac:dyDescent="0.25">
      <c r="A760" s="179"/>
      <c r="B760" s="179"/>
      <c r="C760" s="179"/>
      <c r="D760" s="179"/>
      <c r="E760" s="179"/>
      <c r="F760" s="179"/>
      <c r="G760" s="179"/>
      <c r="H760" s="179"/>
      <c r="I760" s="181"/>
      <c r="J760" s="179"/>
      <c r="K760" s="179"/>
      <c r="L760" s="182"/>
      <c r="M760" s="182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32"/>
      <c r="Z760" s="179"/>
      <c r="AA760" s="179"/>
      <c r="AB760" s="179"/>
      <c r="AC760" s="179"/>
      <c r="AD760" s="132"/>
      <c r="AE760" s="179"/>
      <c r="AF760" s="179"/>
    </row>
    <row r="761" ht="12.75" customHeight="1" spans="1:32" x14ac:dyDescent="0.25">
      <c r="A761" s="179"/>
      <c r="B761" s="179"/>
      <c r="C761" s="179"/>
      <c r="D761" s="179"/>
      <c r="E761" s="179"/>
      <c r="F761" s="179"/>
      <c r="G761" s="179"/>
      <c r="H761" s="179"/>
      <c r="I761" s="181"/>
      <c r="J761" s="179"/>
      <c r="K761" s="179"/>
      <c r="L761" s="182"/>
      <c r="M761" s="182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32"/>
      <c r="Z761" s="179"/>
      <c r="AA761" s="179"/>
      <c r="AB761" s="179"/>
      <c r="AC761" s="179"/>
      <c r="AD761" s="132"/>
      <c r="AE761" s="179"/>
      <c r="AF761" s="179"/>
    </row>
    <row r="762" ht="12.75" customHeight="1" spans="1:32" x14ac:dyDescent="0.25">
      <c r="A762" s="179"/>
      <c r="B762" s="179"/>
      <c r="C762" s="179"/>
      <c r="D762" s="179"/>
      <c r="E762" s="179"/>
      <c r="F762" s="179"/>
      <c r="G762" s="179"/>
      <c r="H762" s="179"/>
      <c r="I762" s="181"/>
      <c r="J762" s="179"/>
      <c r="K762" s="179"/>
      <c r="L762" s="182"/>
      <c r="M762" s="182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32"/>
      <c r="Z762" s="179"/>
      <c r="AA762" s="179"/>
      <c r="AB762" s="179"/>
      <c r="AC762" s="179"/>
      <c r="AD762" s="132"/>
      <c r="AE762" s="179"/>
      <c r="AF762" s="179"/>
    </row>
    <row r="763" ht="12.75" customHeight="1" spans="1:32" x14ac:dyDescent="0.25">
      <c r="A763" s="179"/>
      <c r="B763" s="179"/>
      <c r="C763" s="179"/>
      <c r="D763" s="179"/>
      <c r="E763" s="179"/>
      <c r="F763" s="179"/>
      <c r="G763" s="179"/>
      <c r="H763" s="179"/>
      <c r="I763" s="181"/>
      <c r="J763" s="179"/>
      <c r="K763" s="179"/>
      <c r="L763" s="182"/>
      <c r="M763" s="182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32"/>
      <c r="Z763" s="179"/>
      <c r="AA763" s="179"/>
      <c r="AB763" s="179"/>
      <c r="AC763" s="179"/>
      <c r="AD763" s="132"/>
      <c r="AE763" s="179"/>
      <c r="AF763" s="179"/>
    </row>
    <row r="764" ht="12.75" customHeight="1" spans="1:32" x14ac:dyDescent="0.25">
      <c r="A764" s="179"/>
      <c r="B764" s="179"/>
      <c r="C764" s="179"/>
      <c r="D764" s="179"/>
      <c r="E764" s="179"/>
      <c r="F764" s="179"/>
      <c r="G764" s="179"/>
      <c r="H764" s="179"/>
      <c r="I764" s="181"/>
      <c r="J764" s="179"/>
      <c r="K764" s="179"/>
      <c r="L764" s="182"/>
      <c r="M764" s="182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32"/>
      <c r="Z764" s="179"/>
      <c r="AA764" s="179"/>
      <c r="AB764" s="179"/>
      <c r="AC764" s="179"/>
      <c r="AD764" s="132"/>
      <c r="AE764" s="179"/>
      <c r="AF764" s="179"/>
    </row>
    <row r="765" ht="12.75" customHeight="1" spans="1:32" x14ac:dyDescent="0.25">
      <c r="A765" s="179"/>
      <c r="B765" s="179"/>
      <c r="C765" s="179"/>
      <c r="D765" s="179"/>
      <c r="E765" s="179"/>
      <c r="F765" s="179"/>
      <c r="G765" s="179"/>
      <c r="H765" s="179"/>
      <c r="I765" s="181"/>
      <c r="J765" s="179"/>
      <c r="K765" s="179"/>
      <c r="L765" s="182"/>
      <c r="M765" s="182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32"/>
      <c r="Z765" s="179"/>
      <c r="AA765" s="179"/>
      <c r="AB765" s="179"/>
      <c r="AC765" s="179"/>
      <c r="AD765" s="132"/>
      <c r="AE765" s="179"/>
      <c r="AF765" s="179"/>
    </row>
    <row r="766" ht="12.75" customHeight="1" spans="1:32" x14ac:dyDescent="0.25">
      <c r="A766" s="179"/>
      <c r="B766" s="179"/>
      <c r="C766" s="179"/>
      <c r="D766" s="179"/>
      <c r="E766" s="179"/>
      <c r="F766" s="179"/>
      <c r="G766" s="179"/>
      <c r="H766" s="179"/>
      <c r="I766" s="181"/>
      <c r="J766" s="179"/>
      <c r="K766" s="179"/>
      <c r="L766" s="182"/>
      <c r="M766" s="182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32"/>
      <c r="Z766" s="179"/>
      <c r="AA766" s="179"/>
      <c r="AB766" s="179"/>
      <c r="AC766" s="179"/>
      <c r="AD766" s="132"/>
      <c r="AE766" s="179"/>
      <c r="AF766" s="179"/>
    </row>
    <row r="767" ht="12.75" customHeight="1" spans="1:32" x14ac:dyDescent="0.25">
      <c r="A767" s="179"/>
      <c r="B767" s="179"/>
      <c r="C767" s="179"/>
      <c r="D767" s="179"/>
      <c r="E767" s="179"/>
      <c r="F767" s="179"/>
      <c r="G767" s="179"/>
      <c r="H767" s="179"/>
      <c r="I767" s="181"/>
      <c r="J767" s="179"/>
      <c r="K767" s="179"/>
      <c r="L767" s="182"/>
      <c r="M767" s="182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32"/>
      <c r="Z767" s="179"/>
      <c r="AA767" s="179"/>
      <c r="AB767" s="179"/>
      <c r="AC767" s="179"/>
      <c r="AD767" s="132"/>
      <c r="AE767" s="179"/>
      <c r="AF767" s="179"/>
    </row>
    <row r="768" ht="12.75" customHeight="1" spans="1:32" x14ac:dyDescent="0.25">
      <c r="A768" s="179"/>
      <c r="B768" s="179"/>
      <c r="C768" s="179"/>
      <c r="D768" s="179"/>
      <c r="E768" s="179"/>
      <c r="F768" s="179"/>
      <c r="G768" s="179"/>
      <c r="H768" s="179"/>
      <c r="I768" s="181"/>
      <c r="J768" s="179"/>
      <c r="K768" s="179"/>
      <c r="L768" s="182"/>
      <c r="M768" s="182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32"/>
      <c r="Z768" s="179"/>
      <c r="AA768" s="179"/>
      <c r="AB768" s="179"/>
      <c r="AC768" s="179"/>
      <c r="AD768" s="132"/>
      <c r="AE768" s="179"/>
      <c r="AF768" s="179"/>
    </row>
    <row r="769" ht="12.75" customHeight="1" spans="1:32" x14ac:dyDescent="0.25">
      <c r="A769" s="179"/>
      <c r="B769" s="179"/>
      <c r="C769" s="179"/>
      <c r="D769" s="179"/>
      <c r="E769" s="179"/>
      <c r="F769" s="179"/>
      <c r="G769" s="179"/>
      <c r="H769" s="179"/>
      <c r="I769" s="181"/>
      <c r="J769" s="179"/>
      <c r="K769" s="179"/>
      <c r="L769" s="182"/>
      <c r="M769" s="182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32"/>
      <c r="Z769" s="179"/>
      <c r="AA769" s="179"/>
      <c r="AB769" s="179"/>
      <c r="AC769" s="179"/>
      <c r="AD769" s="132"/>
      <c r="AE769" s="179"/>
      <c r="AF769" s="179"/>
    </row>
    <row r="770" ht="12.75" customHeight="1" spans="1:32" x14ac:dyDescent="0.25">
      <c r="A770" s="179"/>
      <c r="B770" s="179"/>
      <c r="C770" s="179"/>
      <c r="D770" s="179"/>
      <c r="E770" s="179"/>
      <c r="F770" s="179"/>
      <c r="G770" s="179"/>
      <c r="H770" s="179"/>
      <c r="I770" s="181"/>
      <c r="J770" s="179"/>
      <c r="K770" s="179"/>
      <c r="L770" s="182"/>
      <c r="M770" s="182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32"/>
      <c r="Z770" s="179"/>
      <c r="AA770" s="179"/>
      <c r="AB770" s="179"/>
      <c r="AC770" s="179"/>
      <c r="AD770" s="132"/>
      <c r="AE770" s="179"/>
      <c r="AF770" s="179"/>
    </row>
    <row r="771" ht="12.75" customHeight="1" spans="1:32" x14ac:dyDescent="0.25">
      <c r="A771" s="179"/>
      <c r="B771" s="179"/>
      <c r="C771" s="179"/>
      <c r="D771" s="179"/>
      <c r="E771" s="179"/>
      <c r="F771" s="179"/>
      <c r="G771" s="179"/>
      <c r="H771" s="179"/>
      <c r="I771" s="181"/>
      <c r="J771" s="179"/>
      <c r="K771" s="179"/>
      <c r="L771" s="182"/>
      <c r="M771" s="182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32"/>
      <c r="Z771" s="179"/>
      <c r="AA771" s="179"/>
      <c r="AB771" s="179"/>
      <c r="AC771" s="179"/>
      <c r="AD771" s="132"/>
      <c r="AE771" s="179"/>
      <c r="AF771" s="179"/>
    </row>
    <row r="772" ht="12.75" customHeight="1" spans="1:32" x14ac:dyDescent="0.25">
      <c r="A772" s="179"/>
      <c r="B772" s="179"/>
      <c r="C772" s="179"/>
      <c r="D772" s="179"/>
      <c r="E772" s="179"/>
      <c r="F772" s="179"/>
      <c r="G772" s="179"/>
      <c r="H772" s="179"/>
      <c r="I772" s="181"/>
      <c r="J772" s="179"/>
      <c r="K772" s="179"/>
      <c r="L772" s="182"/>
      <c r="M772" s="182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32"/>
      <c r="Z772" s="179"/>
      <c r="AA772" s="179"/>
      <c r="AB772" s="179"/>
      <c r="AC772" s="179"/>
      <c r="AD772" s="132"/>
      <c r="AE772" s="179"/>
      <c r="AF772" s="179"/>
    </row>
    <row r="773" ht="12.75" customHeight="1" spans="1:32" x14ac:dyDescent="0.25">
      <c r="A773" s="179"/>
      <c r="B773" s="179"/>
      <c r="C773" s="179"/>
      <c r="D773" s="179"/>
      <c r="E773" s="179"/>
      <c r="F773" s="179"/>
      <c r="G773" s="179"/>
      <c r="H773" s="179"/>
      <c r="I773" s="181"/>
      <c r="J773" s="179"/>
      <c r="K773" s="179"/>
      <c r="L773" s="182"/>
      <c r="M773" s="182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32"/>
      <c r="Z773" s="179"/>
      <c r="AA773" s="179"/>
      <c r="AB773" s="179"/>
      <c r="AC773" s="179"/>
      <c r="AD773" s="132"/>
      <c r="AE773" s="179"/>
      <c r="AF773" s="179"/>
    </row>
    <row r="774" ht="12.75" customHeight="1" spans="1:32" x14ac:dyDescent="0.25">
      <c r="A774" s="179"/>
      <c r="B774" s="179"/>
      <c r="C774" s="179"/>
      <c r="D774" s="179"/>
      <c r="E774" s="179"/>
      <c r="F774" s="179"/>
      <c r="G774" s="179"/>
      <c r="H774" s="179"/>
      <c r="I774" s="181"/>
      <c r="J774" s="179"/>
      <c r="K774" s="179"/>
      <c r="L774" s="182"/>
      <c r="M774" s="182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32"/>
      <c r="Z774" s="179"/>
      <c r="AA774" s="179"/>
      <c r="AB774" s="179"/>
      <c r="AC774" s="179"/>
      <c r="AD774" s="132"/>
      <c r="AE774" s="179"/>
      <c r="AF774" s="179"/>
    </row>
    <row r="775" ht="12.75" customHeight="1" spans="1:32" x14ac:dyDescent="0.25">
      <c r="A775" s="179"/>
      <c r="B775" s="179"/>
      <c r="C775" s="179"/>
      <c r="D775" s="179"/>
      <c r="E775" s="179"/>
      <c r="F775" s="179"/>
      <c r="G775" s="179"/>
      <c r="H775" s="179"/>
      <c r="I775" s="181"/>
      <c r="J775" s="179"/>
      <c r="K775" s="179"/>
      <c r="L775" s="182"/>
      <c r="M775" s="182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32"/>
      <c r="Z775" s="179"/>
      <c r="AA775" s="179"/>
      <c r="AB775" s="179"/>
      <c r="AC775" s="179"/>
      <c r="AD775" s="132"/>
      <c r="AE775" s="179"/>
      <c r="AF775" s="179"/>
    </row>
    <row r="776" ht="12.75" customHeight="1" spans="1:32" x14ac:dyDescent="0.25">
      <c r="A776" s="179"/>
      <c r="B776" s="179"/>
      <c r="C776" s="179"/>
      <c r="D776" s="179"/>
      <c r="E776" s="179"/>
      <c r="F776" s="179"/>
      <c r="G776" s="179"/>
      <c r="H776" s="179"/>
      <c r="I776" s="181"/>
      <c r="J776" s="179"/>
      <c r="K776" s="179"/>
      <c r="L776" s="182"/>
      <c r="M776" s="182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32"/>
      <c r="Z776" s="179"/>
      <c r="AA776" s="179"/>
      <c r="AB776" s="179"/>
      <c r="AC776" s="179"/>
      <c r="AD776" s="132"/>
      <c r="AE776" s="179"/>
      <c r="AF776" s="179"/>
    </row>
    <row r="777" ht="12.75" customHeight="1" spans="1:32" x14ac:dyDescent="0.25">
      <c r="A777" s="179"/>
      <c r="B777" s="179"/>
      <c r="C777" s="179"/>
      <c r="D777" s="179"/>
      <c r="E777" s="179"/>
      <c r="F777" s="179"/>
      <c r="G777" s="179"/>
      <c r="H777" s="179"/>
      <c r="I777" s="181"/>
      <c r="J777" s="179"/>
      <c r="K777" s="179"/>
      <c r="L777" s="182"/>
      <c r="M777" s="182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32"/>
      <c r="Z777" s="179"/>
      <c r="AA777" s="179"/>
      <c r="AB777" s="179"/>
      <c r="AC777" s="179"/>
      <c r="AD777" s="132"/>
      <c r="AE777" s="179"/>
      <c r="AF777" s="179"/>
    </row>
    <row r="778" ht="12.75" customHeight="1" spans="1:32" x14ac:dyDescent="0.25">
      <c r="A778" s="179"/>
      <c r="B778" s="179"/>
      <c r="C778" s="179"/>
      <c r="D778" s="179"/>
      <c r="E778" s="179"/>
      <c r="F778" s="179"/>
      <c r="G778" s="179"/>
      <c r="H778" s="179"/>
      <c r="I778" s="181"/>
      <c r="J778" s="179"/>
      <c r="K778" s="179"/>
      <c r="L778" s="182"/>
      <c r="M778" s="182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32"/>
      <c r="Z778" s="179"/>
      <c r="AA778" s="179"/>
      <c r="AB778" s="179"/>
      <c r="AC778" s="179"/>
      <c r="AD778" s="132"/>
      <c r="AE778" s="179"/>
      <c r="AF778" s="179"/>
    </row>
    <row r="779" ht="12.75" customHeight="1" spans="1:32" x14ac:dyDescent="0.25">
      <c r="A779" s="179"/>
      <c r="B779" s="179"/>
      <c r="C779" s="179"/>
      <c r="D779" s="179"/>
      <c r="E779" s="179"/>
      <c r="F779" s="179"/>
      <c r="G779" s="179"/>
      <c r="H779" s="179"/>
      <c r="I779" s="181"/>
      <c r="J779" s="179"/>
      <c r="K779" s="179"/>
      <c r="L779" s="182"/>
      <c r="M779" s="182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32"/>
      <c r="Z779" s="179"/>
      <c r="AA779" s="179"/>
      <c r="AB779" s="179"/>
      <c r="AC779" s="179"/>
      <c r="AD779" s="132"/>
      <c r="AE779" s="179"/>
      <c r="AF779" s="179"/>
    </row>
    <row r="780" ht="12.75" customHeight="1" spans="1:32" x14ac:dyDescent="0.25">
      <c r="A780" s="179"/>
      <c r="B780" s="179"/>
      <c r="C780" s="179"/>
      <c r="D780" s="179"/>
      <c r="E780" s="179"/>
      <c r="F780" s="179"/>
      <c r="G780" s="179"/>
      <c r="H780" s="179"/>
      <c r="I780" s="181"/>
      <c r="J780" s="179"/>
      <c r="K780" s="179"/>
      <c r="L780" s="182"/>
      <c r="M780" s="182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32"/>
      <c r="Z780" s="179"/>
      <c r="AA780" s="179"/>
      <c r="AB780" s="179"/>
      <c r="AC780" s="179"/>
      <c r="AD780" s="132"/>
      <c r="AE780" s="179"/>
      <c r="AF780" s="179"/>
    </row>
    <row r="781" ht="12.75" customHeight="1" spans="1:32" x14ac:dyDescent="0.25">
      <c r="A781" s="179"/>
      <c r="B781" s="179"/>
      <c r="C781" s="179"/>
      <c r="D781" s="179"/>
      <c r="E781" s="179"/>
      <c r="F781" s="179"/>
      <c r="G781" s="179"/>
      <c r="H781" s="179"/>
      <c r="I781" s="181"/>
      <c r="J781" s="179"/>
      <c r="K781" s="179"/>
      <c r="L781" s="182"/>
      <c r="M781" s="182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32"/>
      <c r="Z781" s="179"/>
      <c r="AA781" s="179"/>
      <c r="AB781" s="179"/>
      <c r="AC781" s="179"/>
      <c r="AD781" s="132"/>
      <c r="AE781" s="179"/>
      <c r="AF781" s="179"/>
    </row>
    <row r="782" ht="12.75" customHeight="1" spans="1:32" x14ac:dyDescent="0.25">
      <c r="A782" s="179"/>
      <c r="B782" s="179"/>
      <c r="C782" s="179"/>
      <c r="D782" s="179"/>
      <c r="E782" s="179"/>
      <c r="F782" s="179"/>
      <c r="G782" s="179"/>
      <c r="H782" s="179"/>
      <c r="I782" s="181"/>
      <c r="J782" s="179"/>
      <c r="K782" s="179"/>
      <c r="L782" s="182"/>
      <c r="M782" s="182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32"/>
      <c r="Z782" s="179"/>
      <c r="AA782" s="179"/>
      <c r="AB782" s="179"/>
      <c r="AC782" s="179"/>
      <c r="AD782" s="132"/>
      <c r="AE782" s="179"/>
      <c r="AF782" s="179"/>
    </row>
    <row r="783" ht="12.75" customHeight="1" spans="1:32" x14ac:dyDescent="0.25">
      <c r="A783" s="179"/>
      <c r="B783" s="179"/>
      <c r="C783" s="179"/>
      <c r="D783" s="179"/>
      <c r="E783" s="179"/>
      <c r="F783" s="179"/>
      <c r="G783" s="179"/>
      <c r="H783" s="179"/>
      <c r="I783" s="181"/>
      <c r="J783" s="179"/>
      <c r="K783" s="179"/>
      <c r="L783" s="182"/>
      <c r="M783" s="182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32"/>
      <c r="Z783" s="179"/>
      <c r="AA783" s="179"/>
      <c r="AB783" s="179"/>
      <c r="AC783" s="179"/>
      <c r="AD783" s="132"/>
      <c r="AE783" s="179"/>
      <c r="AF783" s="179"/>
    </row>
    <row r="784" ht="12.75" customHeight="1" spans="1:32" x14ac:dyDescent="0.25">
      <c r="A784" s="179"/>
      <c r="B784" s="179"/>
      <c r="C784" s="179"/>
      <c r="D784" s="179"/>
      <c r="E784" s="179"/>
      <c r="F784" s="179"/>
      <c r="G784" s="179"/>
      <c r="H784" s="179"/>
      <c r="I784" s="181"/>
      <c r="J784" s="179"/>
      <c r="K784" s="179"/>
      <c r="L784" s="182"/>
      <c r="M784" s="182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32"/>
      <c r="Z784" s="179"/>
      <c r="AA784" s="179"/>
      <c r="AB784" s="179"/>
      <c r="AC784" s="179"/>
      <c r="AD784" s="132"/>
      <c r="AE784" s="179"/>
      <c r="AF784" s="179"/>
    </row>
    <row r="785" ht="12.75" customHeight="1" spans="1:32" x14ac:dyDescent="0.25">
      <c r="A785" s="179"/>
      <c r="B785" s="179"/>
      <c r="C785" s="179"/>
      <c r="D785" s="179"/>
      <c r="E785" s="179"/>
      <c r="F785" s="179"/>
      <c r="G785" s="179"/>
      <c r="H785" s="179"/>
      <c r="I785" s="181"/>
      <c r="J785" s="179"/>
      <c r="K785" s="179"/>
      <c r="L785" s="182"/>
      <c r="M785" s="182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32"/>
      <c r="Z785" s="179"/>
      <c r="AA785" s="179"/>
      <c r="AB785" s="179"/>
      <c r="AC785" s="179"/>
      <c r="AD785" s="132"/>
      <c r="AE785" s="179"/>
      <c r="AF785" s="179"/>
    </row>
    <row r="786" ht="12.75" customHeight="1" spans="1:32" x14ac:dyDescent="0.25">
      <c r="A786" s="179"/>
      <c r="B786" s="179"/>
      <c r="C786" s="179"/>
      <c r="D786" s="179"/>
      <c r="E786" s="179"/>
      <c r="F786" s="179"/>
      <c r="G786" s="179"/>
      <c r="H786" s="179"/>
      <c r="I786" s="181"/>
      <c r="J786" s="179"/>
      <c r="K786" s="179"/>
      <c r="L786" s="182"/>
      <c r="M786" s="182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32"/>
      <c r="Z786" s="179"/>
      <c r="AA786" s="179"/>
      <c r="AB786" s="179"/>
      <c r="AC786" s="179"/>
      <c r="AD786" s="132"/>
      <c r="AE786" s="179"/>
      <c r="AF786" s="179"/>
    </row>
    <row r="787" ht="12.75" customHeight="1" spans="1:32" x14ac:dyDescent="0.25">
      <c r="A787" s="179"/>
      <c r="B787" s="179"/>
      <c r="C787" s="179"/>
      <c r="D787" s="179"/>
      <c r="E787" s="179"/>
      <c r="F787" s="179"/>
      <c r="G787" s="179"/>
      <c r="H787" s="179"/>
      <c r="I787" s="181"/>
      <c r="J787" s="179"/>
      <c r="K787" s="179"/>
      <c r="L787" s="182"/>
      <c r="M787" s="182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32"/>
      <c r="Z787" s="179"/>
      <c r="AA787" s="179"/>
      <c r="AB787" s="179"/>
      <c r="AC787" s="179"/>
      <c r="AD787" s="132"/>
      <c r="AE787" s="179"/>
      <c r="AF787" s="179"/>
    </row>
    <row r="788" ht="12.75" customHeight="1" spans="1:32" x14ac:dyDescent="0.25">
      <c r="A788" s="179"/>
      <c r="B788" s="179"/>
      <c r="C788" s="179"/>
      <c r="D788" s="179"/>
      <c r="E788" s="179"/>
      <c r="F788" s="179"/>
      <c r="G788" s="179"/>
      <c r="H788" s="179"/>
      <c r="I788" s="181"/>
      <c r="J788" s="179"/>
      <c r="K788" s="179"/>
      <c r="L788" s="182"/>
      <c r="M788" s="182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32"/>
      <c r="Z788" s="179"/>
      <c r="AA788" s="179"/>
      <c r="AB788" s="179"/>
      <c r="AC788" s="179"/>
      <c r="AD788" s="132"/>
      <c r="AE788" s="179"/>
      <c r="AF788" s="179"/>
    </row>
    <row r="789" ht="12.75" customHeight="1" spans="1:32" x14ac:dyDescent="0.25">
      <c r="A789" s="179"/>
      <c r="B789" s="179"/>
      <c r="C789" s="179"/>
      <c r="D789" s="179"/>
      <c r="E789" s="179"/>
      <c r="F789" s="179"/>
      <c r="G789" s="179"/>
      <c r="H789" s="179"/>
      <c r="I789" s="181"/>
      <c r="J789" s="179"/>
      <c r="K789" s="179"/>
      <c r="L789" s="182"/>
      <c r="M789" s="182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32"/>
      <c r="Z789" s="179"/>
      <c r="AA789" s="179"/>
      <c r="AB789" s="179"/>
      <c r="AC789" s="179"/>
      <c r="AD789" s="132"/>
      <c r="AE789" s="179"/>
      <c r="AF789" s="179"/>
    </row>
    <row r="790" ht="12.75" customHeight="1" spans="1:32" x14ac:dyDescent="0.25">
      <c r="A790" s="179"/>
      <c r="B790" s="179"/>
      <c r="C790" s="179"/>
      <c r="D790" s="179"/>
      <c r="E790" s="179"/>
      <c r="F790" s="179"/>
      <c r="G790" s="179"/>
      <c r="H790" s="179"/>
      <c r="I790" s="181"/>
      <c r="J790" s="179"/>
      <c r="K790" s="179"/>
      <c r="L790" s="182"/>
      <c r="M790" s="182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32"/>
      <c r="Z790" s="179"/>
      <c r="AA790" s="179"/>
      <c r="AB790" s="179"/>
      <c r="AC790" s="179"/>
      <c r="AD790" s="132"/>
      <c r="AE790" s="179"/>
      <c r="AF790" s="179"/>
    </row>
    <row r="791" ht="12.75" customHeight="1" spans="1:32" x14ac:dyDescent="0.25">
      <c r="A791" s="179"/>
      <c r="B791" s="179"/>
      <c r="C791" s="179"/>
      <c r="D791" s="179"/>
      <c r="E791" s="179"/>
      <c r="F791" s="179"/>
      <c r="G791" s="179"/>
      <c r="H791" s="179"/>
      <c r="I791" s="181"/>
      <c r="J791" s="179"/>
      <c r="K791" s="179"/>
      <c r="L791" s="182"/>
      <c r="M791" s="182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32"/>
      <c r="Z791" s="179"/>
      <c r="AA791" s="179"/>
      <c r="AB791" s="179"/>
      <c r="AC791" s="179"/>
      <c r="AD791" s="132"/>
      <c r="AE791" s="179"/>
      <c r="AF791" s="179"/>
    </row>
    <row r="792" ht="12.75" customHeight="1" spans="1:32" x14ac:dyDescent="0.25">
      <c r="A792" s="179"/>
      <c r="B792" s="179"/>
      <c r="C792" s="179"/>
      <c r="D792" s="179"/>
      <c r="E792" s="179"/>
      <c r="F792" s="179"/>
      <c r="G792" s="179"/>
      <c r="H792" s="179"/>
      <c r="I792" s="181"/>
      <c r="J792" s="179"/>
      <c r="K792" s="179"/>
      <c r="L792" s="182"/>
      <c r="M792" s="182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32"/>
      <c r="Z792" s="179"/>
      <c r="AA792" s="179"/>
      <c r="AB792" s="179"/>
      <c r="AC792" s="179"/>
      <c r="AD792" s="132"/>
      <c r="AE792" s="179"/>
      <c r="AF792" s="179"/>
    </row>
    <row r="793" ht="12.75" customHeight="1" spans="1:32" x14ac:dyDescent="0.25">
      <c r="A793" s="179"/>
      <c r="B793" s="179"/>
      <c r="C793" s="179"/>
      <c r="D793" s="179"/>
      <c r="E793" s="179"/>
      <c r="F793" s="179"/>
      <c r="G793" s="179"/>
      <c r="H793" s="179"/>
      <c r="I793" s="181"/>
      <c r="J793" s="179"/>
      <c r="K793" s="179"/>
      <c r="L793" s="182"/>
      <c r="M793" s="182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32"/>
      <c r="Z793" s="179"/>
      <c r="AA793" s="179"/>
      <c r="AB793" s="179"/>
      <c r="AC793" s="179"/>
      <c r="AD793" s="132"/>
      <c r="AE793" s="179"/>
      <c r="AF793" s="179"/>
    </row>
    <row r="794" ht="12.75" customHeight="1" spans="1:32" x14ac:dyDescent="0.25">
      <c r="A794" s="179"/>
      <c r="B794" s="179"/>
      <c r="C794" s="179"/>
      <c r="D794" s="179"/>
      <c r="E794" s="179"/>
      <c r="F794" s="179"/>
      <c r="G794" s="179"/>
      <c r="H794" s="179"/>
      <c r="I794" s="181"/>
      <c r="J794" s="179"/>
      <c r="K794" s="179"/>
      <c r="L794" s="182"/>
      <c r="M794" s="182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32"/>
      <c r="Z794" s="179"/>
      <c r="AA794" s="179"/>
      <c r="AB794" s="179"/>
      <c r="AC794" s="179"/>
      <c r="AD794" s="132"/>
      <c r="AE794" s="179"/>
      <c r="AF794" s="179"/>
    </row>
    <row r="795" ht="12.75" customHeight="1" spans="1:32" x14ac:dyDescent="0.25">
      <c r="A795" s="179"/>
      <c r="B795" s="179"/>
      <c r="C795" s="179"/>
      <c r="D795" s="179"/>
      <c r="E795" s="179"/>
      <c r="F795" s="179"/>
      <c r="G795" s="179"/>
      <c r="H795" s="179"/>
      <c r="I795" s="181"/>
      <c r="J795" s="179"/>
      <c r="K795" s="179"/>
      <c r="L795" s="182"/>
      <c r="M795" s="182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32"/>
      <c r="Z795" s="179"/>
      <c r="AA795" s="179"/>
      <c r="AB795" s="179"/>
      <c r="AC795" s="179"/>
      <c r="AD795" s="132"/>
      <c r="AE795" s="179"/>
      <c r="AF795" s="179"/>
    </row>
    <row r="796" ht="12.75" customHeight="1" spans="1:32" x14ac:dyDescent="0.25">
      <c r="A796" s="179"/>
      <c r="B796" s="179"/>
      <c r="C796" s="179"/>
      <c r="D796" s="179"/>
      <c r="E796" s="179"/>
      <c r="F796" s="179"/>
      <c r="G796" s="179"/>
      <c r="H796" s="179"/>
      <c r="I796" s="181"/>
      <c r="J796" s="179"/>
      <c r="K796" s="179"/>
      <c r="L796" s="182"/>
      <c r="M796" s="182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32"/>
      <c r="Z796" s="179"/>
      <c r="AA796" s="179"/>
      <c r="AB796" s="179"/>
      <c r="AC796" s="179"/>
      <c r="AD796" s="132"/>
      <c r="AE796" s="179"/>
      <c r="AF796" s="179"/>
    </row>
    <row r="797" ht="12.75" customHeight="1" spans="1:32" x14ac:dyDescent="0.25">
      <c r="A797" s="179"/>
      <c r="B797" s="179"/>
      <c r="C797" s="179"/>
      <c r="D797" s="179"/>
      <c r="E797" s="179"/>
      <c r="F797" s="179"/>
      <c r="G797" s="179"/>
      <c r="H797" s="179"/>
      <c r="I797" s="181"/>
      <c r="J797" s="179"/>
      <c r="K797" s="179"/>
      <c r="L797" s="182"/>
      <c r="M797" s="182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32"/>
      <c r="Z797" s="179"/>
      <c r="AA797" s="179"/>
      <c r="AB797" s="179"/>
      <c r="AC797" s="179"/>
      <c r="AD797" s="132"/>
      <c r="AE797" s="179"/>
      <c r="AF797" s="179"/>
    </row>
    <row r="798" ht="12.75" customHeight="1" spans="1:32" x14ac:dyDescent="0.25">
      <c r="A798" s="179"/>
      <c r="B798" s="179"/>
      <c r="C798" s="179"/>
      <c r="D798" s="179"/>
      <c r="E798" s="179"/>
      <c r="F798" s="179"/>
      <c r="G798" s="179"/>
      <c r="H798" s="179"/>
      <c r="I798" s="181"/>
      <c r="J798" s="179"/>
      <c r="K798" s="179"/>
      <c r="L798" s="182"/>
      <c r="M798" s="182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32"/>
      <c r="Z798" s="179"/>
      <c r="AA798" s="179"/>
      <c r="AB798" s="179"/>
      <c r="AC798" s="179"/>
      <c r="AD798" s="132"/>
      <c r="AE798" s="179"/>
      <c r="AF798" s="179"/>
    </row>
    <row r="799" ht="12.75" customHeight="1" spans="1:32" x14ac:dyDescent="0.25">
      <c r="A799" s="179"/>
      <c r="B799" s="179"/>
      <c r="C799" s="179"/>
      <c r="D799" s="179"/>
      <c r="E799" s="179"/>
      <c r="F799" s="179"/>
      <c r="G799" s="179"/>
      <c r="H799" s="179"/>
      <c r="I799" s="181"/>
      <c r="J799" s="179"/>
      <c r="K799" s="179"/>
      <c r="L799" s="182"/>
      <c r="M799" s="182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32"/>
      <c r="Z799" s="179"/>
      <c r="AA799" s="179"/>
      <c r="AB799" s="179"/>
      <c r="AC799" s="179"/>
      <c r="AD799" s="132"/>
      <c r="AE799" s="179"/>
      <c r="AF799" s="179"/>
    </row>
    <row r="800" ht="12.75" customHeight="1" spans="1:32" x14ac:dyDescent="0.25">
      <c r="A800" s="179"/>
      <c r="B800" s="179"/>
      <c r="C800" s="179"/>
      <c r="D800" s="179"/>
      <c r="E800" s="179"/>
      <c r="F800" s="179"/>
      <c r="G800" s="179"/>
      <c r="H800" s="179"/>
      <c r="I800" s="181"/>
      <c r="J800" s="179"/>
      <c r="K800" s="179"/>
      <c r="L800" s="182"/>
      <c r="M800" s="182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32"/>
      <c r="Z800" s="179"/>
      <c r="AA800" s="179"/>
      <c r="AB800" s="179"/>
      <c r="AC800" s="179"/>
      <c r="AD800" s="132"/>
      <c r="AE800" s="179"/>
      <c r="AF800" s="179"/>
    </row>
    <row r="801" ht="12.75" customHeight="1" spans="1:32" x14ac:dyDescent="0.25">
      <c r="A801" s="179"/>
      <c r="B801" s="179"/>
      <c r="C801" s="179"/>
      <c r="D801" s="179"/>
      <c r="E801" s="179"/>
      <c r="F801" s="179"/>
      <c r="G801" s="179"/>
      <c r="H801" s="179"/>
      <c r="I801" s="181"/>
      <c r="J801" s="179"/>
      <c r="K801" s="179"/>
      <c r="L801" s="182"/>
      <c r="M801" s="182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32"/>
      <c r="Z801" s="179"/>
      <c r="AA801" s="179"/>
      <c r="AB801" s="179"/>
      <c r="AC801" s="179"/>
      <c r="AD801" s="132"/>
      <c r="AE801" s="179"/>
      <c r="AF801" s="179"/>
    </row>
    <row r="802" ht="12.75" customHeight="1" spans="1:32" x14ac:dyDescent="0.25">
      <c r="A802" s="179"/>
      <c r="B802" s="179"/>
      <c r="C802" s="179"/>
      <c r="D802" s="179"/>
      <c r="E802" s="179"/>
      <c r="F802" s="179"/>
      <c r="G802" s="179"/>
      <c r="H802" s="179"/>
      <c r="I802" s="181"/>
      <c r="J802" s="179"/>
      <c r="K802" s="179"/>
      <c r="L802" s="182"/>
      <c r="M802" s="182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32"/>
      <c r="Z802" s="179"/>
      <c r="AA802" s="179"/>
      <c r="AB802" s="179"/>
      <c r="AC802" s="179"/>
      <c r="AD802" s="132"/>
      <c r="AE802" s="179"/>
      <c r="AF802" s="179"/>
    </row>
    <row r="803" ht="12.75" customHeight="1" spans="1:32" x14ac:dyDescent="0.25">
      <c r="A803" s="179"/>
      <c r="B803" s="179"/>
      <c r="C803" s="179"/>
      <c r="D803" s="179"/>
      <c r="E803" s="179"/>
      <c r="F803" s="179"/>
      <c r="G803" s="179"/>
      <c r="H803" s="179"/>
      <c r="I803" s="181"/>
      <c r="J803" s="179"/>
      <c r="K803" s="179"/>
      <c r="L803" s="182"/>
      <c r="M803" s="182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32"/>
      <c r="Z803" s="179"/>
      <c r="AA803" s="179"/>
      <c r="AB803" s="179"/>
      <c r="AC803" s="179"/>
      <c r="AD803" s="132"/>
      <c r="AE803" s="179"/>
      <c r="AF803" s="179"/>
    </row>
    <row r="804" ht="12.75" customHeight="1" spans="1:32" x14ac:dyDescent="0.25">
      <c r="A804" s="179"/>
      <c r="B804" s="179"/>
      <c r="C804" s="179"/>
      <c r="D804" s="179"/>
      <c r="E804" s="179"/>
      <c r="F804" s="179"/>
      <c r="G804" s="179"/>
      <c r="H804" s="179"/>
      <c r="I804" s="181"/>
      <c r="J804" s="179"/>
      <c r="K804" s="179"/>
      <c r="L804" s="182"/>
      <c r="M804" s="182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32"/>
      <c r="Z804" s="179"/>
      <c r="AA804" s="179"/>
      <c r="AB804" s="179"/>
      <c r="AC804" s="179"/>
      <c r="AD804" s="132"/>
      <c r="AE804" s="179"/>
      <c r="AF804" s="179"/>
    </row>
    <row r="805" ht="12.75" customHeight="1" spans="1:32" x14ac:dyDescent="0.25">
      <c r="A805" s="179"/>
      <c r="B805" s="179"/>
      <c r="C805" s="179"/>
      <c r="D805" s="179"/>
      <c r="E805" s="179"/>
      <c r="F805" s="179"/>
      <c r="G805" s="179"/>
      <c r="H805" s="179"/>
      <c r="I805" s="181"/>
      <c r="J805" s="179"/>
      <c r="K805" s="179"/>
      <c r="L805" s="182"/>
      <c r="M805" s="182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32"/>
      <c r="Z805" s="179"/>
      <c r="AA805" s="179"/>
      <c r="AB805" s="179"/>
      <c r="AC805" s="179"/>
      <c r="AD805" s="132"/>
      <c r="AE805" s="179"/>
      <c r="AF805" s="179"/>
    </row>
    <row r="806" ht="12.75" customHeight="1" spans="1:32" x14ac:dyDescent="0.25">
      <c r="A806" s="179"/>
      <c r="B806" s="179"/>
      <c r="C806" s="179"/>
      <c r="D806" s="179"/>
      <c r="E806" s="179"/>
      <c r="F806" s="179"/>
      <c r="G806" s="179"/>
      <c r="H806" s="179"/>
      <c r="I806" s="181"/>
      <c r="J806" s="179"/>
      <c r="K806" s="179"/>
      <c r="L806" s="182"/>
      <c r="M806" s="182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32"/>
      <c r="Z806" s="179"/>
      <c r="AA806" s="179"/>
      <c r="AB806" s="179"/>
      <c r="AC806" s="179"/>
      <c r="AD806" s="132"/>
      <c r="AE806" s="179"/>
      <c r="AF806" s="179"/>
    </row>
    <row r="807" ht="12.75" customHeight="1" spans="1:32" x14ac:dyDescent="0.25">
      <c r="A807" s="179"/>
      <c r="B807" s="179"/>
      <c r="C807" s="179"/>
      <c r="D807" s="179"/>
      <c r="E807" s="179"/>
      <c r="F807" s="179"/>
      <c r="G807" s="179"/>
      <c r="H807" s="179"/>
      <c r="I807" s="181"/>
      <c r="J807" s="179"/>
      <c r="K807" s="179"/>
      <c r="L807" s="182"/>
      <c r="M807" s="182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32"/>
      <c r="Z807" s="179"/>
      <c r="AA807" s="179"/>
      <c r="AB807" s="179"/>
      <c r="AC807" s="179"/>
      <c r="AD807" s="132"/>
      <c r="AE807" s="179"/>
      <c r="AF807" s="179"/>
    </row>
    <row r="808" ht="12.75" customHeight="1" spans="1:32" x14ac:dyDescent="0.25">
      <c r="A808" s="179"/>
      <c r="B808" s="179"/>
      <c r="C808" s="179"/>
      <c r="D808" s="179"/>
      <c r="E808" s="179"/>
      <c r="F808" s="179"/>
      <c r="G808" s="179"/>
      <c r="H808" s="179"/>
      <c r="I808" s="181"/>
      <c r="J808" s="179"/>
      <c r="K808" s="179"/>
      <c r="L808" s="182"/>
      <c r="M808" s="182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32"/>
      <c r="Z808" s="179"/>
      <c r="AA808" s="179"/>
      <c r="AB808" s="179"/>
      <c r="AC808" s="179"/>
      <c r="AD808" s="132"/>
      <c r="AE808" s="179"/>
      <c r="AF808" s="179"/>
    </row>
    <row r="809" ht="12.75" customHeight="1" spans="1:32" x14ac:dyDescent="0.25">
      <c r="A809" s="179"/>
      <c r="B809" s="179"/>
      <c r="C809" s="179"/>
      <c r="D809" s="179"/>
      <c r="E809" s="179"/>
      <c r="F809" s="179"/>
      <c r="G809" s="179"/>
      <c r="H809" s="179"/>
      <c r="I809" s="181"/>
      <c r="J809" s="179"/>
      <c r="K809" s="179"/>
      <c r="L809" s="182"/>
      <c r="M809" s="182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32"/>
      <c r="Z809" s="179"/>
      <c r="AA809" s="179"/>
      <c r="AB809" s="179"/>
      <c r="AC809" s="179"/>
      <c r="AD809" s="132"/>
      <c r="AE809" s="179"/>
      <c r="AF809" s="179"/>
    </row>
    <row r="810" ht="12.75" customHeight="1" spans="1:32" x14ac:dyDescent="0.25">
      <c r="A810" s="179"/>
      <c r="B810" s="179"/>
      <c r="C810" s="179"/>
      <c r="D810" s="179"/>
      <c r="E810" s="179"/>
      <c r="F810" s="179"/>
      <c r="G810" s="179"/>
      <c r="H810" s="179"/>
      <c r="I810" s="181"/>
      <c r="J810" s="179"/>
      <c r="K810" s="179"/>
      <c r="L810" s="182"/>
      <c r="M810" s="182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32"/>
      <c r="Z810" s="179"/>
      <c r="AA810" s="179"/>
      <c r="AB810" s="179"/>
      <c r="AC810" s="179"/>
      <c r="AD810" s="132"/>
      <c r="AE810" s="179"/>
      <c r="AF810" s="179"/>
    </row>
    <row r="811" ht="12.75" customHeight="1" spans="1:32" x14ac:dyDescent="0.25">
      <c r="A811" s="179"/>
      <c r="B811" s="179"/>
      <c r="C811" s="179"/>
      <c r="D811" s="179"/>
      <c r="E811" s="179"/>
      <c r="F811" s="179"/>
      <c r="G811" s="179"/>
      <c r="H811" s="179"/>
      <c r="I811" s="181"/>
      <c r="J811" s="179"/>
      <c r="K811" s="179"/>
      <c r="L811" s="182"/>
      <c r="M811" s="182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32"/>
      <c r="Z811" s="179"/>
      <c r="AA811" s="179"/>
      <c r="AB811" s="179"/>
      <c r="AC811" s="179"/>
      <c r="AD811" s="132"/>
      <c r="AE811" s="179"/>
      <c r="AF811" s="179"/>
    </row>
    <row r="812" ht="12.75" customHeight="1" spans="1:32" x14ac:dyDescent="0.25">
      <c r="A812" s="179"/>
      <c r="B812" s="179"/>
      <c r="C812" s="179"/>
      <c r="D812" s="179"/>
      <c r="E812" s="179"/>
      <c r="F812" s="179"/>
      <c r="G812" s="179"/>
      <c r="H812" s="179"/>
      <c r="I812" s="181"/>
      <c r="J812" s="179"/>
      <c r="K812" s="179"/>
      <c r="L812" s="182"/>
      <c r="M812" s="182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32"/>
      <c r="Z812" s="179"/>
      <c r="AA812" s="179"/>
      <c r="AB812" s="179"/>
      <c r="AC812" s="179"/>
      <c r="AD812" s="132"/>
      <c r="AE812" s="179"/>
      <c r="AF812" s="179"/>
    </row>
    <row r="813" ht="12.75" customHeight="1" spans="1:32" x14ac:dyDescent="0.25">
      <c r="A813" s="179"/>
      <c r="B813" s="179"/>
      <c r="C813" s="179"/>
      <c r="D813" s="179"/>
      <c r="E813" s="179"/>
      <c r="F813" s="179"/>
      <c r="G813" s="179"/>
      <c r="H813" s="179"/>
      <c r="I813" s="181"/>
      <c r="J813" s="179"/>
      <c r="K813" s="179"/>
      <c r="L813" s="182"/>
      <c r="M813" s="182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32"/>
      <c r="Z813" s="179"/>
      <c r="AA813" s="179"/>
      <c r="AB813" s="179"/>
      <c r="AC813" s="179"/>
      <c r="AD813" s="132"/>
      <c r="AE813" s="179"/>
      <c r="AF813" s="179"/>
    </row>
    <row r="814" ht="12.75" customHeight="1" spans="1:32" x14ac:dyDescent="0.25">
      <c r="A814" s="179"/>
      <c r="B814" s="179"/>
      <c r="C814" s="179"/>
      <c r="D814" s="179"/>
      <c r="E814" s="179"/>
      <c r="F814" s="179"/>
      <c r="G814" s="179"/>
      <c r="H814" s="179"/>
      <c r="I814" s="181"/>
      <c r="J814" s="179"/>
      <c r="K814" s="179"/>
      <c r="L814" s="182"/>
      <c r="M814" s="182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32"/>
      <c r="Z814" s="179"/>
      <c r="AA814" s="179"/>
      <c r="AB814" s="179"/>
      <c r="AC814" s="179"/>
      <c r="AD814" s="132"/>
      <c r="AE814" s="179"/>
      <c r="AF814" s="179"/>
    </row>
    <row r="815" ht="12.75" customHeight="1" spans="1:32" x14ac:dyDescent="0.25">
      <c r="A815" s="179"/>
      <c r="B815" s="179"/>
      <c r="C815" s="179"/>
      <c r="D815" s="179"/>
      <c r="E815" s="179"/>
      <c r="F815" s="179"/>
      <c r="G815" s="179"/>
      <c r="H815" s="179"/>
      <c r="I815" s="181"/>
      <c r="J815" s="179"/>
      <c r="K815" s="179"/>
      <c r="L815" s="182"/>
      <c r="M815" s="182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32"/>
      <c r="Z815" s="179"/>
      <c r="AA815" s="179"/>
      <c r="AB815" s="179"/>
      <c r="AC815" s="179"/>
      <c r="AD815" s="132"/>
      <c r="AE815" s="179"/>
      <c r="AF815" s="179"/>
    </row>
    <row r="816" ht="12.75" customHeight="1" spans="1:32" x14ac:dyDescent="0.25">
      <c r="A816" s="179"/>
      <c r="B816" s="179"/>
      <c r="C816" s="179"/>
      <c r="D816" s="179"/>
      <c r="E816" s="179"/>
      <c r="F816" s="179"/>
      <c r="G816" s="179"/>
      <c r="H816" s="179"/>
      <c r="I816" s="181"/>
      <c r="J816" s="179"/>
      <c r="K816" s="179"/>
      <c r="L816" s="182"/>
      <c r="M816" s="182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32"/>
      <c r="Z816" s="179"/>
      <c r="AA816" s="179"/>
      <c r="AB816" s="179"/>
      <c r="AC816" s="179"/>
      <c r="AD816" s="132"/>
      <c r="AE816" s="179"/>
      <c r="AF816" s="179"/>
    </row>
    <row r="817" ht="12.75" customHeight="1" spans="1:32" x14ac:dyDescent="0.25">
      <c r="A817" s="179"/>
      <c r="B817" s="179"/>
      <c r="C817" s="179"/>
      <c r="D817" s="179"/>
      <c r="E817" s="179"/>
      <c r="F817" s="179"/>
      <c r="G817" s="179"/>
      <c r="H817" s="179"/>
      <c r="I817" s="181"/>
      <c r="J817" s="179"/>
      <c r="K817" s="179"/>
      <c r="L817" s="182"/>
      <c r="M817" s="182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32"/>
      <c r="Z817" s="179"/>
      <c r="AA817" s="179"/>
      <c r="AB817" s="179"/>
      <c r="AC817" s="179"/>
      <c r="AD817" s="132"/>
      <c r="AE817" s="179"/>
      <c r="AF817" s="179"/>
    </row>
    <row r="818" ht="12.75" customHeight="1" spans="1:32" x14ac:dyDescent="0.25">
      <c r="A818" s="179"/>
      <c r="B818" s="179"/>
      <c r="C818" s="179"/>
      <c r="D818" s="179"/>
      <c r="E818" s="179"/>
      <c r="F818" s="179"/>
      <c r="G818" s="179"/>
      <c r="H818" s="179"/>
      <c r="I818" s="181"/>
      <c r="J818" s="179"/>
      <c r="K818" s="179"/>
      <c r="L818" s="182"/>
      <c r="M818" s="182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32"/>
      <c r="Z818" s="179"/>
      <c r="AA818" s="179"/>
      <c r="AB818" s="179"/>
      <c r="AC818" s="179"/>
      <c r="AD818" s="132"/>
      <c r="AE818" s="179"/>
      <c r="AF818" s="179"/>
    </row>
    <row r="819" ht="12.75" customHeight="1" spans="1:32" x14ac:dyDescent="0.25">
      <c r="A819" s="179"/>
      <c r="B819" s="179"/>
      <c r="C819" s="179"/>
      <c r="D819" s="179"/>
      <c r="E819" s="179"/>
      <c r="F819" s="179"/>
      <c r="G819" s="179"/>
      <c r="H819" s="179"/>
      <c r="I819" s="181"/>
      <c r="J819" s="179"/>
      <c r="K819" s="179"/>
      <c r="L819" s="182"/>
      <c r="M819" s="182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32"/>
      <c r="Z819" s="179"/>
      <c r="AA819" s="179"/>
      <c r="AB819" s="179"/>
      <c r="AC819" s="179"/>
      <c r="AD819" s="132"/>
      <c r="AE819" s="179"/>
      <c r="AF819" s="179"/>
    </row>
    <row r="820" ht="12.75" customHeight="1" spans="1:32" x14ac:dyDescent="0.25">
      <c r="A820" s="179"/>
      <c r="B820" s="179"/>
      <c r="C820" s="179"/>
      <c r="D820" s="179"/>
      <c r="E820" s="179"/>
      <c r="F820" s="179"/>
      <c r="G820" s="179"/>
      <c r="H820" s="179"/>
      <c r="I820" s="181"/>
      <c r="J820" s="179"/>
      <c r="K820" s="179"/>
      <c r="L820" s="182"/>
      <c r="M820" s="182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32"/>
      <c r="Z820" s="179"/>
      <c r="AA820" s="179"/>
      <c r="AB820" s="179"/>
      <c r="AC820" s="179"/>
      <c r="AD820" s="132"/>
      <c r="AE820" s="179"/>
      <c r="AF820" s="179"/>
    </row>
    <row r="821" ht="12.75" customHeight="1" spans="1:32" x14ac:dyDescent="0.25">
      <c r="A821" s="179"/>
      <c r="B821" s="179"/>
      <c r="C821" s="179"/>
      <c r="D821" s="179"/>
      <c r="E821" s="179"/>
      <c r="F821" s="179"/>
      <c r="G821" s="179"/>
      <c r="H821" s="179"/>
      <c r="I821" s="181"/>
      <c r="J821" s="179"/>
      <c r="K821" s="179"/>
      <c r="L821" s="182"/>
      <c r="M821" s="182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32"/>
      <c r="Z821" s="179"/>
      <c r="AA821" s="179"/>
      <c r="AB821" s="179"/>
      <c r="AC821" s="179"/>
      <c r="AD821" s="132"/>
      <c r="AE821" s="179"/>
      <c r="AF821" s="179"/>
    </row>
    <row r="822" ht="12.75" customHeight="1" spans="1:32" x14ac:dyDescent="0.25">
      <c r="A822" s="179"/>
      <c r="B822" s="179"/>
      <c r="C822" s="179"/>
      <c r="D822" s="179"/>
      <c r="E822" s="179"/>
      <c r="F822" s="179"/>
      <c r="G822" s="179"/>
      <c r="H822" s="179"/>
      <c r="I822" s="181"/>
      <c r="J822" s="179"/>
      <c r="K822" s="179"/>
      <c r="L822" s="182"/>
      <c r="M822" s="182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32"/>
      <c r="Z822" s="179"/>
      <c r="AA822" s="179"/>
      <c r="AB822" s="179"/>
      <c r="AC822" s="179"/>
      <c r="AD822" s="132"/>
      <c r="AE822" s="179"/>
      <c r="AF822" s="179"/>
    </row>
    <row r="823" ht="12.75" customHeight="1" spans="1:32" x14ac:dyDescent="0.25">
      <c r="A823" s="179"/>
      <c r="B823" s="179"/>
      <c r="C823" s="179"/>
      <c r="D823" s="179"/>
      <c r="E823" s="179"/>
      <c r="F823" s="179"/>
      <c r="G823" s="179"/>
      <c r="H823" s="179"/>
      <c r="I823" s="181"/>
      <c r="J823" s="179"/>
      <c r="K823" s="179"/>
      <c r="L823" s="182"/>
      <c r="M823" s="182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32"/>
      <c r="Z823" s="179"/>
      <c r="AA823" s="179"/>
      <c r="AB823" s="179"/>
      <c r="AC823" s="179"/>
      <c r="AD823" s="132"/>
      <c r="AE823" s="179"/>
      <c r="AF823" s="179"/>
    </row>
    <row r="824" ht="12.75" customHeight="1" spans="1:32" x14ac:dyDescent="0.25">
      <c r="A824" s="179"/>
      <c r="B824" s="179"/>
      <c r="C824" s="179"/>
      <c r="D824" s="179"/>
      <c r="E824" s="179"/>
      <c r="F824" s="179"/>
      <c r="G824" s="179"/>
      <c r="H824" s="179"/>
      <c r="I824" s="181"/>
      <c r="J824" s="179"/>
      <c r="K824" s="179"/>
      <c r="L824" s="182"/>
      <c r="M824" s="182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32"/>
      <c r="Z824" s="179"/>
      <c r="AA824" s="179"/>
      <c r="AB824" s="179"/>
      <c r="AC824" s="179"/>
      <c r="AD824" s="132"/>
      <c r="AE824" s="179"/>
      <c r="AF824" s="179"/>
    </row>
    <row r="825" ht="12.75" customHeight="1" spans="1:32" x14ac:dyDescent="0.25">
      <c r="A825" s="179"/>
      <c r="B825" s="179"/>
      <c r="C825" s="179"/>
      <c r="D825" s="179"/>
      <c r="E825" s="179"/>
      <c r="F825" s="179"/>
      <c r="G825" s="179"/>
      <c r="H825" s="179"/>
      <c r="I825" s="181"/>
      <c r="J825" s="179"/>
      <c r="K825" s="179"/>
      <c r="L825" s="182"/>
      <c r="M825" s="182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32"/>
      <c r="Z825" s="179"/>
      <c r="AA825" s="179"/>
      <c r="AB825" s="179"/>
      <c r="AC825" s="179"/>
      <c r="AD825" s="132"/>
      <c r="AE825" s="179"/>
      <c r="AF825" s="179"/>
    </row>
    <row r="826" ht="12.75" customHeight="1" spans="1:32" x14ac:dyDescent="0.25">
      <c r="A826" s="179"/>
      <c r="B826" s="179"/>
      <c r="C826" s="179"/>
      <c r="D826" s="179"/>
      <c r="E826" s="179"/>
      <c r="F826" s="179"/>
      <c r="G826" s="179"/>
      <c r="H826" s="179"/>
      <c r="I826" s="181"/>
      <c r="J826" s="179"/>
      <c r="K826" s="179"/>
      <c r="L826" s="182"/>
      <c r="M826" s="182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32"/>
      <c r="Z826" s="179"/>
      <c r="AA826" s="179"/>
      <c r="AB826" s="179"/>
      <c r="AC826" s="179"/>
      <c r="AD826" s="132"/>
      <c r="AE826" s="179"/>
      <c r="AF826" s="179"/>
    </row>
    <row r="827" ht="12.75" customHeight="1" spans="1:32" x14ac:dyDescent="0.25">
      <c r="A827" s="179"/>
      <c r="B827" s="179"/>
      <c r="C827" s="179"/>
      <c r="D827" s="179"/>
      <c r="E827" s="179"/>
      <c r="F827" s="179"/>
      <c r="G827" s="179"/>
      <c r="H827" s="179"/>
      <c r="I827" s="181"/>
      <c r="J827" s="179"/>
      <c r="K827" s="179"/>
      <c r="L827" s="182"/>
      <c r="M827" s="182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32"/>
      <c r="Z827" s="179"/>
      <c r="AA827" s="179"/>
      <c r="AB827" s="179"/>
      <c r="AC827" s="179"/>
      <c r="AD827" s="132"/>
      <c r="AE827" s="179"/>
      <c r="AF827" s="179"/>
    </row>
    <row r="828" ht="12.75" customHeight="1" spans="1:32" x14ac:dyDescent="0.25">
      <c r="A828" s="179"/>
      <c r="B828" s="179"/>
      <c r="C828" s="179"/>
      <c r="D828" s="179"/>
      <c r="E828" s="179"/>
      <c r="F828" s="179"/>
      <c r="G828" s="179"/>
      <c r="H828" s="179"/>
      <c r="I828" s="181"/>
      <c r="J828" s="179"/>
      <c r="K828" s="179"/>
      <c r="L828" s="182"/>
      <c r="M828" s="182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32"/>
      <c r="Z828" s="179"/>
      <c r="AA828" s="179"/>
      <c r="AB828" s="179"/>
      <c r="AC828" s="179"/>
      <c r="AD828" s="132"/>
      <c r="AE828" s="179"/>
      <c r="AF828" s="179"/>
    </row>
    <row r="829" ht="12.75" customHeight="1" spans="1:32" x14ac:dyDescent="0.25">
      <c r="A829" s="179"/>
      <c r="B829" s="179"/>
      <c r="C829" s="179"/>
      <c r="D829" s="179"/>
      <c r="E829" s="179"/>
      <c r="F829" s="179"/>
      <c r="G829" s="179"/>
      <c r="H829" s="179"/>
      <c r="I829" s="181"/>
      <c r="J829" s="179"/>
      <c r="K829" s="179"/>
      <c r="L829" s="182"/>
      <c r="M829" s="182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32"/>
      <c r="Z829" s="179"/>
      <c r="AA829" s="179"/>
      <c r="AB829" s="179"/>
      <c r="AC829" s="179"/>
      <c r="AD829" s="132"/>
      <c r="AE829" s="179"/>
      <c r="AF829" s="179"/>
    </row>
    <row r="830" ht="12.75" customHeight="1" spans="1:32" x14ac:dyDescent="0.25">
      <c r="A830" s="179"/>
      <c r="B830" s="179"/>
      <c r="C830" s="179"/>
      <c r="D830" s="179"/>
      <c r="E830" s="179"/>
      <c r="F830" s="179"/>
      <c r="G830" s="179"/>
      <c r="H830" s="179"/>
      <c r="I830" s="181"/>
      <c r="J830" s="179"/>
      <c r="K830" s="179"/>
      <c r="L830" s="182"/>
      <c r="M830" s="182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32"/>
      <c r="Z830" s="179"/>
      <c r="AA830" s="179"/>
      <c r="AB830" s="179"/>
      <c r="AC830" s="179"/>
      <c r="AD830" s="132"/>
      <c r="AE830" s="179"/>
      <c r="AF830" s="179"/>
    </row>
    <row r="831" ht="12.75" customHeight="1" spans="1:32" x14ac:dyDescent="0.25">
      <c r="A831" s="179"/>
      <c r="B831" s="179"/>
      <c r="C831" s="179"/>
      <c r="D831" s="179"/>
      <c r="E831" s="179"/>
      <c r="F831" s="179"/>
      <c r="G831" s="179"/>
      <c r="H831" s="179"/>
      <c r="I831" s="181"/>
      <c r="J831" s="179"/>
      <c r="K831" s="179"/>
      <c r="L831" s="182"/>
      <c r="M831" s="182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32"/>
      <c r="Z831" s="179"/>
      <c r="AA831" s="179"/>
      <c r="AB831" s="179"/>
      <c r="AC831" s="179"/>
      <c r="AD831" s="132"/>
      <c r="AE831" s="179"/>
      <c r="AF831" s="179"/>
    </row>
    <row r="832" ht="12.75" customHeight="1" spans="1:32" x14ac:dyDescent="0.25">
      <c r="A832" s="179"/>
      <c r="B832" s="179"/>
      <c r="C832" s="179"/>
      <c r="D832" s="179"/>
      <c r="E832" s="179"/>
      <c r="F832" s="179"/>
      <c r="G832" s="179"/>
      <c r="H832" s="179"/>
      <c r="I832" s="181"/>
      <c r="J832" s="179"/>
      <c r="K832" s="179"/>
      <c r="L832" s="182"/>
      <c r="M832" s="182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32"/>
      <c r="Z832" s="179"/>
      <c r="AA832" s="179"/>
      <c r="AB832" s="179"/>
      <c r="AC832" s="179"/>
      <c r="AD832" s="132"/>
      <c r="AE832" s="179"/>
      <c r="AF832" s="179"/>
    </row>
    <row r="833" ht="12.75" customHeight="1" spans="1:32" x14ac:dyDescent="0.25">
      <c r="A833" s="179"/>
      <c r="B833" s="179"/>
      <c r="C833" s="179"/>
      <c r="D833" s="179"/>
      <c r="E833" s="179"/>
      <c r="F833" s="179"/>
      <c r="G833" s="179"/>
      <c r="H833" s="179"/>
      <c r="I833" s="181"/>
      <c r="J833" s="179"/>
      <c r="K833" s="179"/>
      <c r="L833" s="182"/>
      <c r="M833" s="182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32"/>
      <c r="Z833" s="179"/>
      <c r="AA833" s="179"/>
      <c r="AB833" s="179"/>
      <c r="AC833" s="179"/>
      <c r="AD833" s="132"/>
      <c r="AE833" s="179"/>
      <c r="AF833" s="179"/>
    </row>
    <row r="834" ht="12.75" customHeight="1" spans="1:32" x14ac:dyDescent="0.25">
      <c r="A834" s="179"/>
      <c r="B834" s="179"/>
      <c r="C834" s="179"/>
      <c r="D834" s="179"/>
      <c r="E834" s="179"/>
      <c r="F834" s="179"/>
      <c r="G834" s="179"/>
      <c r="H834" s="179"/>
      <c r="I834" s="181"/>
      <c r="J834" s="179"/>
      <c r="K834" s="179"/>
      <c r="L834" s="182"/>
      <c r="M834" s="182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32"/>
      <c r="Z834" s="179"/>
      <c r="AA834" s="179"/>
      <c r="AB834" s="179"/>
      <c r="AC834" s="179"/>
      <c r="AD834" s="132"/>
      <c r="AE834" s="179"/>
      <c r="AF834" s="179"/>
    </row>
    <row r="835" ht="12.75" customHeight="1" spans="1:32" x14ac:dyDescent="0.25">
      <c r="A835" s="179"/>
      <c r="B835" s="179"/>
      <c r="C835" s="179"/>
      <c r="D835" s="179"/>
      <c r="E835" s="179"/>
      <c r="F835" s="179"/>
      <c r="G835" s="179"/>
      <c r="H835" s="179"/>
      <c r="I835" s="181"/>
      <c r="J835" s="179"/>
      <c r="K835" s="179"/>
      <c r="L835" s="182"/>
      <c r="M835" s="182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32"/>
      <c r="Z835" s="179"/>
      <c r="AA835" s="179"/>
      <c r="AB835" s="179"/>
      <c r="AC835" s="179"/>
      <c r="AD835" s="132"/>
      <c r="AE835" s="179"/>
      <c r="AF835" s="179"/>
    </row>
    <row r="836" ht="12.75" customHeight="1" spans="1:32" x14ac:dyDescent="0.25">
      <c r="A836" s="179"/>
      <c r="B836" s="179"/>
      <c r="C836" s="179"/>
      <c r="D836" s="179"/>
      <c r="E836" s="179"/>
      <c r="F836" s="179"/>
      <c r="G836" s="179"/>
      <c r="H836" s="179"/>
      <c r="I836" s="181"/>
      <c r="J836" s="179"/>
      <c r="K836" s="179"/>
      <c r="L836" s="182"/>
      <c r="M836" s="182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32"/>
      <c r="Z836" s="179"/>
      <c r="AA836" s="179"/>
      <c r="AB836" s="179"/>
      <c r="AC836" s="179"/>
      <c r="AD836" s="132"/>
      <c r="AE836" s="179"/>
      <c r="AF836" s="179"/>
    </row>
    <row r="837" ht="12.75" customHeight="1" spans="1:32" x14ac:dyDescent="0.25">
      <c r="A837" s="179"/>
      <c r="B837" s="179"/>
      <c r="C837" s="179"/>
      <c r="D837" s="179"/>
      <c r="E837" s="179"/>
      <c r="F837" s="179"/>
      <c r="G837" s="179"/>
      <c r="H837" s="179"/>
      <c r="I837" s="181"/>
      <c r="J837" s="179"/>
      <c r="K837" s="179"/>
      <c r="L837" s="182"/>
      <c r="M837" s="182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32"/>
      <c r="Z837" s="179"/>
      <c r="AA837" s="179"/>
      <c r="AB837" s="179"/>
      <c r="AC837" s="179"/>
      <c r="AD837" s="132"/>
      <c r="AE837" s="179"/>
      <c r="AF837" s="179"/>
    </row>
    <row r="838" ht="12.75" customHeight="1" spans="1:32" x14ac:dyDescent="0.25">
      <c r="A838" s="179"/>
      <c r="B838" s="179"/>
      <c r="C838" s="179"/>
      <c r="D838" s="179"/>
      <c r="E838" s="179"/>
      <c r="F838" s="179"/>
      <c r="G838" s="179"/>
      <c r="H838" s="179"/>
      <c r="I838" s="181"/>
      <c r="J838" s="179"/>
      <c r="K838" s="179"/>
      <c r="L838" s="182"/>
      <c r="M838" s="182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32"/>
      <c r="Z838" s="179"/>
      <c r="AA838" s="179"/>
      <c r="AB838" s="179"/>
      <c r="AC838" s="179"/>
      <c r="AD838" s="132"/>
      <c r="AE838" s="179"/>
      <c r="AF838" s="179"/>
    </row>
    <row r="839" ht="12.75" customHeight="1" spans="1:32" x14ac:dyDescent="0.25">
      <c r="A839" s="179"/>
      <c r="B839" s="179"/>
      <c r="C839" s="179"/>
      <c r="D839" s="179"/>
      <c r="E839" s="179"/>
      <c r="F839" s="179"/>
      <c r="G839" s="179"/>
      <c r="H839" s="179"/>
      <c r="I839" s="181"/>
      <c r="J839" s="179"/>
      <c r="K839" s="179"/>
      <c r="L839" s="182"/>
      <c r="M839" s="182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32"/>
      <c r="Z839" s="179"/>
      <c r="AA839" s="179"/>
      <c r="AB839" s="179"/>
      <c r="AC839" s="179"/>
      <c r="AD839" s="132"/>
      <c r="AE839" s="179"/>
      <c r="AF839" s="179"/>
    </row>
    <row r="840" ht="12.75" customHeight="1" spans="1:32" x14ac:dyDescent="0.25">
      <c r="A840" s="179"/>
      <c r="B840" s="179"/>
      <c r="C840" s="179"/>
      <c r="D840" s="179"/>
      <c r="E840" s="179"/>
      <c r="F840" s="179"/>
      <c r="G840" s="179"/>
      <c r="H840" s="179"/>
      <c r="I840" s="181"/>
      <c r="J840" s="179"/>
      <c r="K840" s="179"/>
      <c r="L840" s="182"/>
      <c r="M840" s="182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32"/>
      <c r="Z840" s="179"/>
      <c r="AA840" s="179"/>
      <c r="AB840" s="179"/>
      <c r="AC840" s="179"/>
      <c r="AD840" s="132"/>
      <c r="AE840" s="179"/>
      <c r="AF840" s="179"/>
    </row>
    <row r="841" ht="12.75" customHeight="1" spans="1:32" x14ac:dyDescent="0.25">
      <c r="A841" s="179"/>
      <c r="B841" s="179"/>
      <c r="C841" s="179"/>
      <c r="D841" s="179"/>
      <c r="E841" s="179"/>
      <c r="F841" s="179"/>
      <c r="G841" s="179"/>
      <c r="H841" s="179"/>
      <c r="I841" s="181"/>
      <c r="J841" s="179"/>
      <c r="K841" s="179"/>
      <c r="L841" s="182"/>
      <c r="M841" s="182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32"/>
      <c r="Z841" s="179"/>
      <c r="AA841" s="179"/>
      <c r="AB841" s="179"/>
      <c r="AC841" s="179"/>
      <c r="AD841" s="132"/>
      <c r="AE841" s="179"/>
      <c r="AF841" s="179"/>
    </row>
    <row r="842" ht="12.75" customHeight="1" spans="1:32" x14ac:dyDescent="0.25">
      <c r="A842" s="179"/>
      <c r="B842" s="179"/>
      <c r="C842" s="179"/>
      <c r="D842" s="179"/>
      <c r="E842" s="179"/>
      <c r="F842" s="179"/>
      <c r="G842" s="179"/>
      <c r="H842" s="179"/>
      <c r="I842" s="181"/>
      <c r="J842" s="179"/>
      <c r="K842" s="179"/>
      <c r="L842" s="182"/>
      <c r="M842" s="182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32"/>
      <c r="Z842" s="179"/>
      <c r="AA842" s="179"/>
      <c r="AB842" s="179"/>
      <c r="AC842" s="179"/>
      <c r="AD842" s="132"/>
      <c r="AE842" s="179"/>
      <c r="AF842" s="179"/>
    </row>
    <row r="843" ht="12.75" customHeight="1" spans="1:32" x14ac:dyDescent="0.25">
      <c r="A843" s="179"/>
      <c r="B843" s="179"/>
      <c r="C843" s="179"/>
      <c r="D843" s="179"/>
      <c r="E843" s="179"/>
      <c r="F843" s="179"/>
      <c r="G843" s="179"/>
      <c r="H843" s="179"/>
      <c r="I843" s="181"/>
      <c r="J843" s="179"/>
      <c r="K843" s="179"/>
      <c r="L843" s="182"/>
      <c r="M843" s="182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32"/>
      <c r="Z843" s="179"/>
      <c r="AA843" s="179"/>
      <c r="AB843" s="179"/>
      <c r="AC843" s="179"/>
      <c r="AD843" s="132"/>
      <c r="AE843" s="179"/>
      <c r="AF843" s="179"/>
    </row>
    <row r="844" ht="12.75" customHeight="1" spans="1:32" x14ac:dyDescent="0.25">
      <c r="A844" s="179"/>
      <c r="B844" s="179"/>
      <c r="C844" s="179"/>
      <c r="D844" s="179"/>
      <c r="E844" s="179"/>
      <c r="F844" s="179"/>
      <c r="G844" s="179"/>
      <c r="H844" s="179"/>
      <c r="I844" s="181"/>
      <c r="J844" s="179"/>
      <c r="K844" s="179"/>
      <c r="L844" s="182"/>
      <c r="M844" s="182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32"/>
      <c r="Z844" s="179"/>
      <c r="AA844" s="179"/>
      <c r="AB844" s="179"/>
      <c r="AC844" s="179"/>
      <c r="AD844" s="132"/>
      <c r="AE844" s="179"/>
      <c r="AF844" s="179"/>
    </row>
    <row r="845" ht="12.75" customHeight="1" spans="1:32" x14ac:dyDescent="0.25">
      <c r="A845" s="179"/>
      <c r="B845" s="179"/>
      <c r="C845" s="179"/>
      <c r="D845" s="179"/>
      <c r="E845" s="179"/>
      <c r="F845" s="179"/>
      <c r="G845" s="179"/>
      <c r="H845" s="179"/>
      <c r="I845" s="181"/>
      <c r="J845" s="179"/>
      <c r="K845" s="179"/>
      <c r="L845" s="182"/>
      <c r="M845" s="182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32"/>
      <c r="Z845" s="179"/>
      <c r="AA845" s="179"/>
      <c r="AB845" s="179"/>
      <c r="AC845" s="179"/>
      <c r="AD845" s="132"/>
      <c r="AE845" s="179"/>
      <c r="AF845" s="179"/>
    </row>
    <row r="846" ht="12.75" customHeight="1" spans="1:32" x14ac:dyDescent="0.25">
      <c r="A846" s="179"/>
      <c r="B846" s="179"/>
      <c r="C846" s="179"/>
      <c r="D846" s="179"/>
      <c r="E846" s="179"/>
      <c r="F846" s="179"/>
      <c r="G846" s="179"/>
      <c r="H846" s="179"/>
      <c r="I846" s="181"/>
      <c r="J846" s="179"/>
      <c r="K846" s="179"/>
      <c r="L846" s="182"/>
      <c r="M846" s="182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32"/>
      <c r="Z846" s="179"/>
      <c r="AA846" s="179"/>
      <c r="AB846" s="179"/>
      <c r="AC846" s="179"/>
      <c r="AD846" s="132"/>
      <c r="AE846" s="179"/>
      <c r="AF846" s="179"/>
    </row>
    <row r="847" ht="12.75" customHeight="1" spans="1:32" x14ac:dyDescent="0.25">
      <c r="A847" s="179"/>
      <c r="B847" s="179"/>
      <c r="C847" s="179"/>
      <c r="D847" s="179"/>
      <c r="E847" s="179"/>
      <c r="F847" s="179"/>
      <c r="G847" s="179"/>
      <c r="H847" s="179"/>
      <c r="I847" s="181"/>
      <c r="J847" s="179"/>
      <c r="K847" s="179"/>
      <c r="L847" s="182"/>
      <c r="M847" s="182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32"/>
      <c r="Z847" s="179"/>
      <c r="AA847" s="179"/>
      <c r="AB847" s="179"/>
      <c r="AC847" s="179"/>
      <c r="AD847" s="132"/>
      <c r="AE847" s="179"/>
      <c r="AF847" s="179"/>
    </row>
    <row r="848" ht="12.75" customHeight="1" spans="1:32" x14ac:dyDescent="0.25">
      <c r="A848" s="179"/>
      <c r="B848" s="179"/>
      <c r="C848" s="179"/>
      <c r="D848" s="179"/>
      <c r="E848" s="179"/>
      <c r="F848" s="179"/>
      <c r="G848" s="179"/>
      <c r="H848" s="179"/>
      <c r="I848" s="181"/>
      <c r="J848" s="179"/>
      <c r="K848" s="179"/>
      <c r="L848" s="182"/>
      <c r="M848" s="182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32"/>
      <c r="Z848" s="179"/>
      <c r="AA848" s="179"/>
      <c r="AB848" s="179"/>
      <c r="AC848" s="179"/>
      <c r="AD848" s="132"/>
      <c r="AE848" s="179"/>
      <c r="AF848" s="179"/>
    </row>
    <row r="849" ht="12.75" customHeight="1" spans="1:32" x14ac:dyDescent="0.25">
      <c r="A849" s="179"/>
      <c r="B849" s="179"/>
      <c r="C849" s="179"/>
      <c r="D849" s="179"/>
      <c r="E849" s="179"/>
      <c r="F849" s="179"/>
      <c r="G849" s="179"/>
      <c r="H849" s="179"/>
      <c r="I849" s="181"/>
      <c r="J849" s="179"/>
      <c r="K849" s="179"/>
      <c r="L849" s="182"/>
      <c r="M849" s="182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32"/>
      <c r="Z849" s="179"/>
      <c r="AA849" s="179"/>
      <c r="AB849" s="179"/>
      <c r="AC849" s="179"/>
      <c r="AD849" s="132"/>
      <c r="AE849" s="179"/>
      <c r="AF849" s="179"/>
    </row>
    <row r="850" ht="12.75" customHeight="1" spans="1:32" x14ac:dyDescent="0.25">
      <c r="A850" s="179"/>
      <c r="B850" s="179"/>
      <c r="C850" s="179"/>
      <c r="D850" s="179"/>
      <c r="E850" s="179"/>
      <c r="F850" s="179"/>
      <c r="G850" s="179"/>
      <c r="H850" s="179"/>
      <c r="I850" s="181"/>
      <c r="J850" s="179"/>
      <c r="K850" s="179"/>
      <c r="L850" s="182"/>
      <c r="M850" s="182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32"/>
      <c r="Z850" s="179"/>
      <c r="AA850" s="179"/>
      <c r="AB850" s="179"/>
      <c r="AC850" s="179"/>
      <c r="AD850" s="132"/>
      <c r="AE850" s="179"/>
      <c r="AF850" s="179"/>
    </row>
    <row r="851" ht="12.75" customHeight="1" spans="1:32" x14ac:dyDescent="0.25">
      <c r="A851" s="179"/>
      <c r="B851" s="179"/>
      <c r="C851" s="179"/>
      <c r="D851" s="179"/>
      <c r="E851" s="179"/>
      <c r="F851" s="179"/>
      <c r="G851" s="179"/>
      <c r="H851" s="179"/>
      <c r="I851" s="181"/>
      <c r="J851" s="179"/>
      <c r="K851" s="179"/>
      <c r="L851" s="182"/>
      <c r="M851" s="182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32"/>
      <c r="Z851" s="179"/>
      <c r="AA851" s="179"/>
      <c r="AB851" s="179"/>
      <c r="AC851" s="179"/>
      <c r="AD851" s="132"/>
      <c r="AE851" s="179"/>
      <c r="AF851" s="179"/>
    </row>
    <row r="852" ht="12.75" customHeight="1" spans="1:32" x14ac:dyDescent="0.25">
      <c r="A852" s="179"/>
      <c r="B852" s="179"/>
      <c r="C852" s="179"/>
      <c r="D852" s="179"/>
      <c r="E852" s="179"/>
      <c r="F852" s="179"/>
      <c r="G852" s="179"/>
      <c r="H852" s="179"/>
      <c r="I852" s="181"/>
      <c r="J852" s="179"/>
      <c r="K852" s="179"/>
      <c r="L852" s="182"/>
      <c r="M852" s="182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32"/>
      <c r="Z852" s="179"/>
      <c r="AA852" s="179"/>
      <c r="AB852" s="179"/>
      <c r="AC852" s="179"/>
      <c r="AD852" s="132"/>
      <c r="AE852" s="179"/>
      <c r="AF852" s="179"/>
    </row>
    <row r="853" ht="12.75" customHeight="1" spans="1:32" x14ac:dyDescent="0.25">
      <c r="A853" s="179"/>
      <c r="B853" s="179"/>
      <c r="C853" s="179"/>
      <c r="D853" s="179"/>
      <c r="E853" s="179"/>
      <c r="F853" s="179"/>
      <c r="G853" s="179"/>
      <c r="H853" s="179"/>
      <c r="I853" s="181"/>
      <c r="J853" s="179"/>
      <c r="K853" s="179"/>
      <c r="L853" s="182"/>
      <c r="M853" s="182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32"/>
      <c r="Z853" s="179"/>
      <c r="AA853" s="179"/>
      <c r="AB853" s="179"/>
      <c r="AC853" s="179"/>
      <c r="AD853" s="132"/>
      <c r="AE853" s="179"/>
      <c r="AF853" s="179"/>
    </row>
    <row r="854" ht="12.75" customHeight="1" spans="1:32" x14ac:dyDescent="0.25">
      <c r="A854" s="179"/>
      <c r="B854" s="179"/>
      <c r="C854" s="179"/>
      <c r="D854" s="179"/>
      <c r="E854" s="179"/>
      <c r="F854" s="179"/>
      <c r="G854" s="179"/>
      <c r="H854" s="179"/>
      <c r="I854" s="181"/>
      <c r="J854" s="179"/>
      <c r="K854" s="179"/>
      <c r="L854" s="182"/>
      <c r="M854" s="182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32"/>
      <c r="Z854" s="179"/>
      <c r="AA854" s="179"/>
      <c r="AB854" s="179"/>
      <c r="AC854" s="179"/>
      <c r="AD854" s="132"/>
      <c r="AE854" s="179"/>
      <c r="AF854" s="179"/>
    </row>
    <row r="855" ht="12.75" customHeight="1" spans="1:32" x14ac:dyDescent="0.25">
      <c r="A855" s="179"/>
      <c r="B855" s="179"/>
      <c r="C855" s="179"/>
      <c r="D855" s="179"/>
      <c r="E855" s="179"/>
      <c r="F855" s="179"/>
      <c r="G855" s="179"/>
      <c r="H855" s="179"/>
      <c r="I855" s="181"/>
      <c r="J855" s="179"/>
      <c r="K855" s="179"/>
      <c r="L855" s="182"/>
      <c r="M855" s="182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32"/>
      <c r="Z855" s="179"/>
      <c r="AA855" s="179"/>
      <c r="AB855" s="179"/>
      <c r="AC855" s="179"/>
      <c r="AD855" s="132"/>
      <c r="AE855" s="179"/>
      <c r="AF855" s="179"/>
    </row>
    <row r="856" ht="12.75" customHeight="1" spans="1:32" x14ac:dyDescent="0.25">
      <c r="A856" s="179"/>
      <c r="B856" s="179"/>
      <c r="C856" s="179"/>
      <c r="D856" s="179"/>
      <c r="E856" s="179"/>
      <c r="F856" s="179"/>
      <c r="G856" s="179"/>
      <c r="H856" s="179"/>
      <c r="I856" s="181"/>
      <c r="J856" s="179"/>
      <c r="K856" s="179"/>
      <c r="L856" s="182"/>
      <c r="M856" s="182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32"/>
      <c r="Z856" s="179"/>
      <c r="AA856" s="179"/>
      <c r="AB856" s="179"/>
      <c r="AC856" s="179"/>
      <c r="AD856" s="132"/>
      <c r="AE856" s="179"/>
      <c r="AF856" s="179"/>
    </row>
    <row r="857" ht="12.75" customHeight="1" spans="1:32" x14ac:dyDescent="0.25">
      <c r="A857" s="179"/>
      <c r="B857" s="179"/>
      <c r="C857" s="179"/>
      <c r="D857" s="179"/>
      <c r="E857" s="179"/>
      <c r="F857" s="179"/>
      <c r="G857" s="179"/>
      <c r="H857" s="179"/>
      <c r="I857" s="181"/>
      <c r="J857" s="179"/>
      <c r="K857" s="179"/>
      <c r="L857" s="182"/>
      <c r="M857" s="182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32"/>
      <c r="Z857" s="179"/>
      <c r="AA857" s="179"/>
      <c r="AB857" s="179"/>
      <c r="AC857" s="179"/>
      <c r="AD857" s="132"/>
      <c r="AE857" s="179"/>
      <c r="AF857" s="179"/>
    </row>
    <row r="858" ht="12.75" customHeight="1" spans="1:32" x14ac:dyDescent="0.25">
      <c r="A858" s="179"/>
      <c r="B858" s="179"/>
      <c r="C858" s="179"/>
      <c r="D858" s="179"/>
      <c r="E858" s="179"/>
      <c r="F858" s="179"/>
      <c r="G858" s="179"/>
      <c r="H858" s="179"/>
      <c r="I858" s="181"/>
      <c r="J858" s="179"/>
      <c r="K858" s="179"/>
      <c r="L858" s="182"/>
      <c r="M858" s="182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32"/>
      <c r="Z858" s="179"/>
      <c r="AA858" s="179"/>
      <c r="AB858" s="179"/>
      <c r="AC858" s="179"/>
      <c r="AD858" s="132"/>
      <c r="AE858" s="179"/>
      <c r="AF858" s="179"/>
    </row>
    <row r="859" ht="12.75" customHeight="1" spans="1:32" x14ac:dyDescent="0.25">
      <c r="A859" s="179"/>
      <c r="B859" s="179"/>
      <c r="C859" s="179"/>
      <c r="D859" s="179"/>
      <c r="E859" s="179"/>
      <c r="F859" s="179"/>
      <c r="G859" s="179"/>
      <c r="H859" s="179"/>
      <c r="I859" s="181"/>
      <c r="J859" s="179"/>
      <c r="K859" s="179"/>
      <c r="L859" s="182"/>
      <c r="M859" s="182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32"/>
      <c r="Z859" s="179"/>
      <c r="AA859" s="179"/>
      <c r="AB859" s="179"/>
      <c r="AC859" s="179"/>
      <c r="AD859" s="132"/>
      <c r="AE859" s="179"/>
      <c r="AF859" s="179"/>
    </row>
    <row r="860" ht="12.75" customHeight="1" spans="1:32" x14ac:dyDescent="0.25">
      <c r="A860" s="179"/>
      <c r="B860" s="179"/>
      <c r="C860" s="179"/>
      <c r="D860" s="179"/>
      <c r="E860" s="179"/>
      <c r="F860" s="179"/>
      <c r="G860" s="179"/>
      <c r="H860" s="179"/>
      <c r="I860" s="181"/>
      <c r="J860" s="179"/>
      <c r="K860" s="179"/>
      <c r="L860" s="182"/>
      <c r="M860" s="182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32"/>
      <c r="Z860" s="179"/>
      <c r="AA860" s="179"/>
      <c r="AB860" s="179"/>
      <c r="AC860" s="179"/>
      <c r="AD860" s="132"/>
      <c r="AE860" s="179"/>
      <c r="AF860" s="179"/>
    </row>
    <row r="861" ht="12.75" customHeight="1" spans="1:32" x14ac:dyDescent="0.25">
      <c r="A861" s="179"/>
      <c r="B861" s="179"/>
      <c r="C861" s="179"/>
      <c r="D861" s="179"/>
      <c r="E861" s="179"/>
      <c r="F861" s="179"/>
      <c r="G861" s="179"/>
      <c r="H861" s="179"/>
      <c r="I861" s="181"/>
      <c r="J861" s="179"/>
      <c r="K861" s="179"/>
      <c r="L861" s="182"/>
      <c r="M861" s="182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32"/>
      <c r="Z861" s="179"/>
      <c r="AA861" s="179"/>
      <c r="AB861" s="179"/>
      <c r="AC861" s="179"/>
      <c r="AD861" s="132"/>
      <c r="AE861" s="179"/>
      <c r="AF861" s="179"/>
    </row>
    <row r="862" ht="12.75" customHeight="1" spans="1:32" x14ac:dyDescent="0.25">
      <c r="A862" s="179"/>
      <c r="B862" s="179"/>
      <c r="C862" s="179"/>
      <c r="D862" s="179"/>
      <c r="E862" s="179"/>
      <c r="F862" s="179"/>
      <c r="G862" s="179"/>
      <c r="H862" s="179"/>
      <c r="I862" s="181"/>
      <c r="J862" s="179"/>
      <c r="K862" s="179"/>
      <c r="L862" s="182"/>
      <c r="M862" s="182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32"/>
      <c r="Z862" s="179"/>
      <c r="AA862" s="179"/>
      <c r="AB862" s="179"/>
      <c r="AC862" s="179"/>
      <c r="AD862" s="132"/>
      <c r="AE862" s="179"/>
      <c r="AF862" s="179"/>
    </row>
    <row r="863" ht="12.75" customHeight="1" spans="1:32" x14ac:dyDescent="0.25">
      <c r="A863" s="179"/>
      <c r="B863" s="179"/>
      <c r="C863" s="179"/>
      <c r="D863" s="179"/>
      <c r="E863" s="179"/>
      <c r="F863" s="179"/>
      <c r="G863" s="179"/>
      <c r="H863" s="179"/>
      <c r="I863" s="181"/>
      <c r="J863" s="179"/>
      <c r="K863" s="179"/>
      <c r="L863" s="182"/>
      <c r="M863" s="182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32"/>
      <c r="Z863" s="179"/>
      <c r="AA863" s="179"/>
      <c r="AB863" s="179"/>
      <c r="AC863" s="179"/>
      <c r="AD863" s="132"/>
      <c r="AE863" s="179"/>
      <c r="AF863" s="179"/>
    </row>
    <row r="864" ht="12.75" customHeight="1" spans="1:32" x14ac:dyDescent="0.25">
      <c r="A864" s="179"/>
      <c r="B864" s="179"/>
      <c r="C864" s="179"/>
      <c r="D864" s="179"/>
      <c r="E864" s="179"/>
      <c r="F864" s="179"/>
      <c r="G864" s="179"/>
      <c r="H864" s="179"/>
      <c r="I864" s="181"/>
      <c r="J864" s="179"/>
      <c r="K864" s="179"/>
      <c r="L864" s="182"/>
      <c r="M864" s="182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32"/>
      <c r="Z864" s="179"/>
      <c r="AA864" s="179"/>
      <c r="AB864" s="179"/>
      <c r="AC864" s="179"/>
      <c r="AD864" s="132"/>
      <c r="AE864" s="179"/>
      <c r="AF864" s="179"/>
    </row>
    <row r="865" ht="12.75" customHeight="1" spans="1:32" x14ac:dyDescent="0.25">
      <c r="A865" s="179"/>
      <c r="B865" s="179"/>
      <c r="C865" s="179"/>
      <c r="D865" s="179"/>
      <c r="E865" s="179"/>
      <c r="F865" s="179"/>
      <c r="G865" s="179"/>
      <c r="H865" s="179"/>
      <c r="I865" s="181"/>
      <c r="J865" s="179"/>
      <c r="K865" s="179"/>
      <c r="L865" s="182"/>
      <c r="M865" s="182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32"/>
      <c r="Z865" s="179"/>
      <c r="AA865" s="179"/>
      <c r="AB865" s="179"/>
      <c r="AC865" s="179"/>
      <c r="AD865" s="132"/>
      <c r="AE865" s="179"/>
      <c r="AF865" s="179"/>
    </row>
    <row r="866" ht="12.75" customHeight="1" spans="1:32" x14ac:dyDescent="0.25">
      <c r="A866" s="179"/>
      <c r="B866" s="179"/>
      <c r="C866" s="179"/>
      <c r="D866" s="179"/>
      <c r="E866" s="179"/>
      <c r="F866" s="179"/>
      <c r="G866" s="179"/>
      <c r="H866" s="179"/>
      <c r="I866" s="181"/>
      <c r="J866" s="179"/>
      <c r="K866" s="179"/>
      <c r="L866" s="182"/>
      <c r="M866" s="182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32"/>
      <c r="Z866" s="179"/>
      <c r="AA866" s="179"/>
      <c r="AB866" s="179"/>
      <c r="AC866" s="179"/>
      <c r="AD866" s="132"/>
      <c r="AE866" s="179"/>
      <c r="AF866" s="179"/>
    </row>
    <row r="867" ht="12.75" customHeight="1" spans="1:32" x14ac:dyDescent="0.25">
      <c r="A867" s="179"/>
      <c r="B867" s="179"/>
      <c r="C867" s="179"/>
      <c r="D867" s="179"/>
      <c r="E867" s="179"/>
      <c r="F867" s="179"/>
      <c r="G867" s="179"/>
      <c r="H867" s="179"/>
      <c r="I867" s="181"/>
      <c r="J867" s="179"/>
      <c r="K867" s="179"/>
      <c r="L867" s="182"/>
      <c r="M867" s="182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32"/>
      <c r="Z867" s="179"/>
      <c r="AA867" s="179"/>
      <c r="AB867" s="179"/>
      <c r="AC867" s="179"/>
      <c r="AD867" s="132"/>
      <c r="AE867" s="179"/>
      <c r="AF867" s="179"/>
    </row>
    <row r="868" ht="12.75" customHeight="1" spans="1:32" x14ac:dyDescent="0.25">
      <c r="A868" s="179"/>
      <c r="B868" s="179"/>
      <c r="C868" s="179"/>
      <c r="D868" s="179"/>
      <c r="E868" s="179"/>
      <c r="F868" s="179"/>
      <c r="G868" s="179"/>
      <c r="H868" s="179"/>
      <c r="I868" s="181"/>
      <c r="J868" s="179"/>
      <c r="K868" s="179"/>
      <c r="L868" s="182"/>
      <c r="M868" s="182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32"/>
      <c r="Z868" s="179"/>
      <c r="AA868" s="179"/>
      <c r="AB868" s="179"/>
      <c r="AC868" s="179"/>
      <c r="AD868" s="132"/>
      <c r="AE868" s="179"/>
      <c r="AF868" s="179"/>
    </row>
    <row r="869" ht="12.75" customHeight="1" spans="1:32" x14ac:dyDescent="0.25">
      <c r="A869" s="179"/>
      <c r="B869" s="179"/>
      <c r="C869" s="179"/>
      <c r="D869" s="179"/>
      <c r="E869" s="179"/>
      <c r="F869" s="179"/>
      <c r="G869" s="179"/>
      <c r="H869" s="179"/>
      <c r="I869" s="181"/>
      <c r="J869" s="179"/>
      <c r="K869" s="179"/>
      <c r="L869" s="182"/>
      <c r="M869" s="182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32"/>
      <c r="Z869" s="179"/>
      <c r="AA869" s="179"/>
      <c r="AB869" s="179"/>
      <c r="AC869" s="179"/>
      <c r="AD869" s="132"/>
      <c r="AE869" s="179"/>
      <c r="AF869" s="179"/>
    </row>
    <row r="870" ht="12.75" customHeight="1" spans="1:32" x14ac:dyDescent="0.25">
      <c r="A870" s="179"/>
      <c r="B870" s="179"/>
      <c r="C870" s="179"/>
      <c r="D870" s="179"/>
      <c r="E870" s="179"/>
      <c r="F870" s="179"/>
      <c r="G870" s="179"/>
      <c r="H870" s="179"/>
      <c r="I870" s="181"/>
      <c r="J870" s="179"/>
      <c r="K870" s="179"/>
      <c r="L870" s="182"/>
      <c r="M870" s="182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32"/>
      <c r="Z870" s="179"/>
      <c r="AA870" s="179"/>
      <c r="AB870" s="179"/>
      <c r="AC870" s="179"/>
      <c r="AD870" s="132"/>
      <c r="AE870" s="179"/>
      <c r="AF870" s="179"/>
    </row>
    <row r="871" ht="12.75" customHeight="1" spans="1:32" x14ac:dyDescent="0.25">
      <c r="A871" s="179"/>
      <c r="B871" s="179"/>
      <c r="C871" s="179"/>
      <c r="D871" s="179"/>
      <c r="E871" s="179"/>
      <c r="F871" s="179"/>
      <c r="G871" s="179"/>
      <c r="H871" s="179"/>
      <c r="I871" s="181"/>
      <c r="J871" s="179"/>
      <c r="K871" s="179"/>
      <c r="L871" s="182"/>
      <c r="M871" s="182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32"/>
      <c r="Z871" s="179"/>
      <c r="AA871" s="179"/>
      <c r="AB871" s="179"/>
      <c r="AC871" s="179"/>
      <c r="AD871" s="132"/>
      <c r="AE871" s="179"/>
      <c r="AF871" s="179"/>
    </row>
    <row r="872" ht="12.75" customHeight="1" spans="1:32" x14ac:dyDescent="0.25">
      <c r="A872" s="179"/>
      <c r="B872" s="179"/>
      <c r="C872" s="179"/>
      <c r="D872" s="179"/>
      <c r="E872" s="179"/>
      <c r="F872" s="179"/>
      <c r="G872" s="179"/>
      <c r="H872" s="179"/>
      <c r="I872" s="181"/>
      <c r="J872" s="179"/>
      <c r="K872" s="179"/>
      <c r="L872" s="182"/>
      <c r="M872" s="182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32"/>
      <c r="Z872" s="179"/>
      <c r="AA872" s="179"/>
      <c r="AB872" s="179"/>
      <c r="AC872" s="179"/>
      <c r="AD872" s="132"/>
      <c r="AE872" s="179"/>
      <c r="AF872" s="179"/>
    </row>
    <row r="873" ht="12.75" customHeight="1" spans="1:32" x14ac:dyDescent="0.25">
      <c r="A873" s="179"/>
      <c r="B873" s="179"/>
      <c r="C873" s="179"/>
      <c r="D873" s="179"/>
      <c r="E873" s="179"/>
      <c r="F873" s="179"/>
      <c r="G873" s="179"/>
      <c r="H873" s="179"/>
      <c r="I873" s="181"/>
      <c r="J873" s="179"/>
      <c r="K873" s="179"/>
      <c r="L873" s="182"/>
      <c r="M873" s="182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32"/>
      <c r="Z873" s="179"/>
      <c r="AA873" s="179"/>
      <c r="AB873" s="179"/>
      <c r="AC873" s="179"/>
      <c r="AD873" s="132"/>
      <c r="AE873" s="179"/>
      <c r="AF873" s="179"/>
    </row>
    <row r="874" ht="12.75" customHeight="1" spans="1:32" x14ac:dyDescent="0.25">
      <c r="A874" s="179"/>
      <c r="B874" s="179"/>
      <c r="C874" s="179"/>
      <c r="D874" s="179"/>
      <c r="E874" s="179"/>
      <c r="F874" s="179"/>
      <c r="G874" s="179"/>
      <c r="H874" s="179"/>
      <c r="I874" s="181"/>
      <c r="J874" s="179"/>
      <c r="K874" s="179"/>
      <c r="L874" s="182"/>
      <c r="M874" s="182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32"/>
      <c r="Z874" s="179"/>
      <c r="AA874" s="179"/>
      <c r="AB874" s="179"/>
      <c r="AC874" s="179"/>
      <c r="AD874" s="132"/>
      <c r="AE874" s="179"/>
      <c r="AF874" s="179"/>
    </row>
    <row r="875" ht="12.75" customHeight="1" spans="1:32" x14ac:dyDescent="0.25">
      <c r="A875" s="179"/>
      <c r="B875" s="179"/>
      <c r="C875" s="179"/>
      <c r="D875" s="179"/>
      <c r="E875" s="179"/>
      <c r="F875" s="179"/>
      <c r="G875" s="179"/>
      <c r="H875" s="179"/>
      <c r="I875" s="181"/>
      <c r="J875" s="179"/>
      <c r="K875" s="179"/>
      <c r="L875" s="182"/>
      <c r="M875" s="182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32"/>
      <c r="Z875" s="179"/>
      <c r="AA875" s="179"/>
      <c r="AB875" s="179"/>
      <c r="AC875" s="179"/>
      <c r="AD875" s="132"/>
      <c r="AE875" s="179"/>
      <c r="AF875" s="179"/>
    </row>
    <row r="876" ht="12.75" customHeight="1" spans="1:32" x14ac:dyDescent="0.25">
      <c r="A876" s="179"/>
      <c r="B876" s="179"/>
      <c r="C876" s="179"/>
      <c r="D876" s="179"/>
      <c r="E876" s="179"/>
      <c r="F876" s="179"/>
      <c r="G876" s="179"/>
      <c r="H876" s="179"/>
      <c r="I876" s="181"/>
      <c r="J876" s="179"/>
      <c r="K876" s="179"/>
      <c r="L876" s="182"/>
      <c r="M876" s="182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32"/>
      <c r="Z876" s="179"/>
      <c r="AA876" s="179"/>
      <c r="AB876" s="179"/>
      <c r="AC876" s="179"/>
      <c r="AD876" s="132"/>
      <c r="AE876" s="179"/>
      <c r="AF876" s="179"/>
    </row>
    <row r="877" ht="12.75" customHeight="1" spans="1:32" x14ac:dyDescent="0.25">
      <c r="A877" s="179"/>
      <c r="B877" s="179"/>
      <c r="C877" s="179"/>
      <c r="D877" s="179"/>
      <c r="E877" s="179"/>
      <c r="F877" s="179"/>
      <c r="G877" s="179"/>
      <c r="H877" s="179"/>
      <c r="I877" s="181"/>
      <c r="J877" s="179"/>
      <c r="K877" s="179"/>
      <c r="L877" s="182"/>
      <c r="M877" s="182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32"/>
      <c r="Z877" s="179"/>
      <c r="AA877" s="179"/>
      <c r="AB877" s="179"/>
      <c r="AC877" s="179"/>
      <c r="AD877" s="132"/>
      <c r="AE877" s="179"/>
      <c r="AF877" s="179"/>
    </row>
    <row r="878" ht="12.75" customHeight="1" spans="1:32" x14ac:dyDescent="0.25">
      <c r="A878" s="179"/>
      <c r="B878" s="179"/>
      <c r="C878" s="179"/>
      <c r="D878" s="179"/>
      <c r="E878" s="179"/>
      <c r="F878" s="179"/>
      <c r="G878" s="179"/>
      <c r="H878" s="179"/>
      <c r="I878" s="181"/>
      <c r="J878" s="179"/>
      <c r="K878" s="179"/>
      <c r="L878" s="182"/>
      <c r="M878" s="182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32"/>
      <c r="Z878" s="179"/>
      <c r="AA878" s="179"/>
      <c r="AB878" s="179"/>
      <c r="AC878" s="179"/>
      <c r="AD878" s="132"/>
      <c r="AE878" s="179"/>
      <c r="AF878" s="179"/>
    </row>
    <row r="879" ht="12.75" customHeight="1" spans="1:32" x14ac:dyDescent="0.25">
      <c r="A879" s="179"/>
      <c r="B879" s="179"/>
      <c r="C879" s="179"/>
      <c r="D879" s="179"/>
      <c r="E879" s="179"/>
      <c r="F879" s="179"/>
      <c r="G879" s="179"/>
      <c r="H879" s="179"/>
      <c r="I879" s="181"/>
      <c r="J879" s="179"/>
      <c r="K879" s="179"/>
      <c r="L879" s="182"/>
      <c r="M879" s="182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32"/>
      <c r="Z879" s="179"/>
      <c r="AA879" s="179"/>
      <c r="AB879" s="179"/>
      <c r="AC879" s="179"/>
      <c r="AD879" s="132"/>
      <c r="AE879" s="179"/>
      <c r="AF879" s="179"/>
    </row>
    <row r="880" ht="12.75" customHeight="1" spans="1:32" x14ac:dyDescent="0.25">
      <c r="A880" s="179"/>
      <c r="B880" s="179"/>
      <c r="C880" s="179"/>
      <c r="D880" s="179"/>
      <c r="E880" s="179"/>
      <c r="F880" s="179"/>
      <c r="G880" s="179"/>
      <c r="H880" s="179"/>
      <c r="I880" s="181"/>
      <c r="J880" s="179"/>
      <c r="K880" s="179"/>
      <c r="L880" s="182"/>
      <c r="M880" s="182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32"/>
      <c r="Z880" s="179"/>
      <c r="AA880" s="179"/>
      <c r="AB880" s="179"/>
      <c r="AC880" s="179"/>
      <c r="AD880" s="132"/>
      <c r="AE880" s="179"/>
      <c r="AF880" s="179"/>
    </row>
    <row r="881" ht="12.75" customHeight="1" spans="1:32" x14ac:dyDescent="0.25">
      <c r="A881" s="179"/>
      <c r="B881" s="179"/>
      <c r="C881" s="179"/>
      <c r="D881" s="179"/>
      <c r="E881" s="179"/>
      <c r="F881" s="179"/>
      <c r="G881" s="179"/>
      <c r="H881" s="179"/>
      <c r="I881" s="181"/>
      <c r="J881" s="179"/>
      <c r="K881" s="179"/>
      <c r="L881" s="182"/>
      <c r="M881" s="182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32"/>
      <c r="Z881" s="179"/>
      <c r="AA881" s="179"/>
      <c r="AB881" s="179"/>
      <c r="AC881" s="179"/>
      <c r="AD881" s="132"/>
      <c r="AE881" s="179"/>
      <c r="AF881" s="179"/>
    </row>
    <row r="882" ht="12.75" customHeight="1" spans="1:32" x14ac:dyDescent="0.25">
      <c r="A882" s="179"/>
      <c r="B882" s="179"/>
      <c r="C882" s="179"/>
      <c r="D882" s="179"/>
      <c r="E882" s="179"/>
      <c r="F882" s="179"/>
      <c r="G882" s="179"/>
      <c r="H882" s="179"/>
      <c r="I882" s="181"/>
      <c r="J882" s="179"/>
      <c r="K882" s="179"/>
      <c r="L882" s="182"/>
      <c r="M882" s="182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32"/>
      <c r="Z882" s="179"/>
      <c r="AA882" s="179"/>
      <c r="AB882" s="179"/>
      <c r="AC882" s="179"/>
      <c r="AD882" s="132"/>
      <c r="AE882" s="179"/>
      <c r="AF882" s="179"/>
    </row>
    <row r="883" ht="12.75" customHeight="1" spans="1:32" x14ac:dyDescent="0.25">
      <c r="A883" s="179"/>
      <c r="B883" s="179"/>
      <c r="C883" s="179"/>
      <c r="D883" s="179"/>
      <c r="E883" s="179"/>
      <c r="F883" s="179"/>
      <c r="G883" s="179"/>
      <c r="H883" s="179"/>
      <c r="I883" s="181"/>
      <c r="J883" s="179"/>
      <c r="K883" s="179"/>
      <c r="L883" s="182"/>
      <c r="M883" s="182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32"/>
      <c r="Z883" s="179"/>
      <c r="AA883" s="179"/>
      <c r="AB883" s="179"/>
      <c r="AC883" s="179"/>
      <c r="AD883" s="132"/>
      <c r="AE883" s="179"/>
      <c r="AF883" s="179"/>
    </row>
    <row r="884" ht="12.75" customHeight="1" spans="1:32" x14ac:dyDescent="0.25">
      <c r="A884" s="179"/>
      <c r="B884" s="179"/>
      <c r="C884" s="179"/>
      <c r="D884" s="179"/>
      <c r="E884" s="179"/>
      <c r="F884" s="179"/>
      <c r="G884" s="179"/>
      <c r="H884" s="179"/>
      <c r="I884" s="181"/>
      <c r="J884" s="179"/>
      <c r="K884" s="179"/>
      <c r="L884" s="182"/>
      <c r="M884" s="182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32"/>
      <c r="Z884" s="179"/>
      <c r="AA884" s="179"/>
      <c r="AB884" s="179"/>
      <c r="AC884" s="179"/>
      <c r="AD884" s="132"/>
      <c r="AE884" s="179"/>
      <c r="AF884" s="179"/>
    </row>
    <row r="885" ht="12.75" customHeight="1" spans="1:32" x14ac:dyDescent="0.25">
      <c r="A885" s="179"/>
      <c r="B885" s="179"/>
      <c r="C885" s="179"/>
      <c r="D885" s="179"/>
      <c r="E885" s="179"/>
      <c r="F885" s="179"/>
      <c r="G885" s="179"/>
      <c r="H885" s="179"/>
      <c r="I885" s="181"/>
      <c r="J885" s="179"/>
      <c r="K885" s="179"/>
      <c r="L885" s="182"/>
      <c r="M885" s="182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32"/>
      <c r="Z885" s="179"/>
      <c r="AA885" s="179"/>
      <c r="AB885" s="179"/>
      <c r="AC885" s="179"/>
      <c r="AD885" s="132"/>
      <c r="AE885" s="179"/>
      <c r="AF885" s="179"/>
    </row>
    <row r="886" ht="12.75" customHeight="1" spans="1:32" x14ac:dyDescent="0.25">
      <c r="A886" s="179"/>
      <c r="B886" s="179"/>
      <c r="C886" s="179"/>
      <c r="D886" s="179"/>
      <c r="E886" s="179"/>
      <c r="F886" s="179"/>
      <c r="G886" s="179"/>
      <c r="H886" s="179"/>
      <c r="I886" s="181"/>
      <c r="J886" s="179"/>
      <c r="K886" s="179"/>
      <c r="L886" s="182"/>
      <c r="M886" s="182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32"/>
      <c r="Z886" s="179"/>
      <c r="AA886" s="179"/>
      <c r="AB886" s="179"/>
      <c r="AC886" s="179"/>
      <c r="AD886" s="132"/>
      <c r="AE886" s="179"/>
      <c r="AF886" s="179"/>
    </row>
    <row r="887" ht="12.75" customHeight="1" spans="1:32" x14ac:dyDescent="0.25">
      <c r="A887" s="179"/>
      <c r="B887" s="179"/>
      <c r="C887" s="179"/>
      <c r="D887" s="179"/>
      <c r="E887" s="179"/>
      <c r="F887" s="179"/>
      <c r="G887" s="179"/>
      <c r="H887" s="179"/>
      <c r="I887" s="181"/>
      <c r="J887" s="179"/>
      <c r="K887" s="179"/>
      <c r="L887" s="182"/>
      <c r="M887" s="182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32"/>
      <c r="Z887" s="179"/>
      <c r="AA887" s="179"/>
      <c r="AB887" s="179"/>
      <c r="AC887" s="179"/>
      <c r="AD887" s="132"/>
      <c r="AE887" s="179"/>
      <c r="AF887" s="179"/>
    </row>
    <row r="888" ht="12.75" customHeight="1" spans="1:32" x14ac:dyDescent="0.25">
      <c r="A888" s="179"/>
      <c r="B888" s="179"/>
      <c r="C888" s="179"/>
      <c r="D888" s="179"/>
      <c r="E888" s="179"/>
      <c r="F888" s="179"/>
      <c r="G888" s="179"/>
      <c r="H888" s="179"/>
      <c r="I888" s="181"/>
      <c r="J888" s="179"/>
      <c r="K888" s="179"/>
      <c r="L888" s="182"/>
      <c r="M888" s="182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32"/>
      <c r="Z888" s="179"/>
      <c r="AA888" s="179"/>
      <c r="AB888" s="179"/>
      <c r="AC888" s="179"/>
      <c r="AD888" s="132"/>
      <c r="AE888" s="179"/>
      <c r="AF888" s="179"/>
    </row>
    <row r="889" ht="12.75" customHeight="1" spans="1:32" x14ac:dyDescent="0.25">
      <c r="A889" s="179"/>
      <c r="B889" s="179"/>
      <c r="C889" s="179"/>
      <c r="D889" s="179"/>
      <c r="E889" s="179"/>
      <c r="F889" s="179"/>
      <c r="G889" s="179"/>
      <c r="H889" s="179"/>
      <c r="I889" s="181"/>
      <c r="J889" s="179"/>
      <c r="K889" s="179"/>
      <c r="L889" s="182"/>
      <c r="M889" s="182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32"/>
      <c r="Z889" s="179"/>
      <c r="AA889" s="179"/>
      <c r="AB889" s="179"/>
      <c r="AC889" s="179"/>
      <c r="AD889" s="132"/>
      <c r="AE889" s="179"/>
      <c r="AF889" s="179"/>
    </row>
    <row r="890" ht="12.75" customHeight="1" spans="1:32" x14ac:dyDescent="0.25">
      <c r="A890" s="179"/>
      <c r="B890" s="179"/>
      <c r="C890" s="179"/>
      <c r="D890" s="179"/>
      <c r="E890" s="179"/>
      <c r="F890" s="179"/>
      <c r="G890" s="179"/>
      <c r="H890" s="179"/>
      <c r="I890" s="181"/>
      <c r="J890" s="179"/>
      <c r="K890" s="179"/>
      <c r="L890" s="182"/>
      <c r="M890" s="182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32"/>
      <c r="Z890" s="179"/>
      <c r="AA890" s="179"/>
      <c r="AB890" s="179"/>
      <c r="AC890" s="179"/>
      <c r="AD890" s="132"/>
      <c r="AE890" s="179"/>
      <c r="AF890" s="179"/>
    </row>
    <row r="891" ht="12.75" customHeight="1" spans="1:32" x14ac:dyDescent="0.25">
      <c r="A891" s="179"/>
      <c r="B891" s="179"/>
      <c r="C891" s="179"/>
      <c r="D891" s="179"/>
      <c r="E891" s="179"/>
      <c r="F891" s="179"/>
      <c r="G891" s="179"/>
      <c r="H891" s="179"/>
      <c r="I891" s="181"/>
      <c r="J891" s="179"/>
      <c r="K891" s="179"/>
      <c r="L891" s="182"/>
      <c r="M891" s="182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32"/>
      <c r="Z891" s="179"/>
      <c r="AA891" s="179"/>
      <c r="AB891" s="179"/>
      <c r="AC891" s="179"/>
      <c r="AD891" s="132"/>
      <c r="AE891" s="179"/>
      <c r="AF891" s="179"/>
    </row>
    <row r="892" ht="12.75" customHeight="1" spans="1:32" x14ac:dyDescent="0.25">
      <c r="A892" s="179"/>
      <c r="B892" s="179"/>
      <c r="C892" s="179"/>
      <c r="D892" s="179"/>
      <c r="E892" s="179"/>
      <c r="F892" s="179"/>
      <c r="G892" s="179"/>
      <c r="H892" s="179"/>
      <c r="I892" s="181"/>
      <c r="J892" s="179"/>
      <c r="K892" s="179"/>
      <c r="L892" s="182"/>
      <c r="M892" s="182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32"/>
      <c r="Z892" s="179"/>
      <c r="AA892" s="179"/>
      <c r="AB892" s="179"/>
      <c r="AC892" s="179"/>
      <c r="AD892" s="132"/>
      <c r="AE892" s="179"/>
      <c r="AF892" s="179"/>
    </row>
    <row r="893" ht="12.75" customHeight="1" spans="1:32" x14ac:dyDescent="0.25">
      <c r="A893" s="179"/>
      <c r="B893" s="179"/>
      <c r="C893" s="179"/>
      <c r="D893" s="179"/>
      <c r="E893" s="179"/>
      <c r="F893" s="179"/>
      <c r="G893" s="179"/>
      <c r="H893" s="179"/>
      <c r="I893" s="181"/>
      <c r="J893" s="179"/>
      <c r="K893" s="179"/>
      <c r="L893" s="182"/>
      <c r="M893" s="182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32"/>
      <c r="Z893" s="179"/>
      <c r="AA893" s="179"/>
      <c r="AB893" s="179"/>
      <c r="AC893" s="179"/>
      <c r="AD893" s="132"/>
      <c r="AE893" s="179"/>
      <c r="AF893" s="179"/>
    </row>
    <row r="894" ht="12.75" customHeight="1" spans="1:32" x14ac:dyDescent="0.25">
      <c r="A894" s="179"/>
      <c r="B894" s="179"/>
      <c r="C894" s="179"/>
      <c r="D894" s="179"/>
      <c r="E894" s="179"/>
      <c r="F894" s="179"/>
      <c r="G894" s="179"/>
      <c r="H894" s="179"/>
      <c r="I894" s="181"/>
      <c r="J894" s="179"/>
      <c r="K894" s="179"/>
      <c r="L894" s="182"/>
      <c r="M894" s="182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32"/>
      <c r="Z894" s="179"/>
      <c r="AA894" s="179"/>
      <c r="AB894" s="179"/>
      <c r="AC894" s="179"/>
      <c r="AD894" s="132"/>
      <c r="AE894" s="179"/>
      <c r="AF894" s="179"/>
    </row>
    <row r="895" ht="12.75" customHeight="1" spans="1:32" x14ac:dyDescent="0.25">
      <c r="A895" s="179"/>
      <c r="B895" s="179"/>
      <c r="C895" s="179"/>
      <c r="D895" s="179"/>
      <c r="E895" s="179"/>
      <c r="F895" s="179"/>
      <c r="G895" s="179"/>
      <c r="H895" s="179"/>
      <c r="I895" s="181"/>
      <c r="J895" s="179"/>
      <c r="K895" s="179"/>
      <c r="L895" s="182"/>
      <c r="M895" s="182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32"/>
      <c r="Z895" s="179"/>
      <c r="AA895" s="179"/>
      <c r="AB895" s="179"/>
      <c r="AC895" s="179"/>
      <c r="AD895" s="132"/>
      <c r="AE895" s="179"/>
      <c r="AF895" s="179"/>
    </row>
    <row r="896" ht="12.75" customHeight="1" spans="1:32" x14ac:dyDescent="0.25">
      <c r="A896" s="179"/>
      <c r="B896" s="179"/>
      <c r="C896" s="179"/>
      <c r="D896" s="179"/>
      <c r="E896" s="179"/>
      <c r="F896" s="179"/>
      <c r="G896" s="179"/>
      <c r="H896" s="179"/>
      <c r="I896" s="181"/>
      <c r="J896" s="179"/>
      <c r="K896" s="179"/>
      <c r="L896" s="182"/>
      <c r="M896" s="182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32"/>
      <c r="Z896" s="179"/>
      <c r="AA896" s="179"/>
      <c r="AB896" s="179"/>
      <c r="AC896" s="179"/>
      <c r="AD896" s="132"/>
      <c r="AE896" s="179"/>
      <c r="AF896" s="179"/>
    </row>
    <row r="897" ht="12.75" customHeight="1" spans="1:32" x14ac:dyDescent="0.25">
      <c r="A897" s="179"/>
      <c r="B897" s="179"/>
      <c r="C897" s="179"/>
      <c r="D897" s="179"/>
      <c r="E897" s="179"/>
      <c r="F897" s="179"/>
      <c r="G897" s="179"/>
      <c r="H897" s="179"/>
      <c r="I897" s="181"/>
      <c r="J897" s="179"/>
      <c r="K897" s="179"/>
      <c r="L897" s="182"/>
      <c r="M897" s="182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32"/>
      <c r="Z897" s="179"/>
      <c r="AA897" s="179"/>
      <c r="AB897" s="179"/>
      <c r="AC897" s="179"/>
      <c r="AD897" s="132"/>
      <c r="AE897" s="179"/>
      <c r="AF897" s="179"/>
    </row>
    <row r="898" ht="12.75" customHeight="1" spans="1:32" x14ac:dyDescent="0.25">
      <c r="A898" s="179"/>
      <c r="B898" s="179"/>
      <c r="C898" s="179"/>
      <c r="D898" s="179"/>
      <c r="E898" s="179"/>
      <c r="F898" s="179"/>
      <c r="G898" s="179"/>
      <c r="H898" s="179"/>
      <c r="I898" s="181"/>
      <c r="J898" s="179"/>
      <c r="K898" s="179"/>
      <c r="L898" s="182"/>
      <c r="M898" s="182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32"/>
      <c r="Z898" s="179"/>
      <c r="AA898" s="179"/>
      <c r="AB898" s="179"/>
      <c r="AC898" s="179"/>
      <c r="AD898" s="132"/>
      <c r="AE898" s="179"/>
      <c r="AF898" s="179"/>
    </row>
    <row r="899" ht="12.75" customHeight="1" spans="1:32" x14ac:dyDescent="0.25">
      <c r="A899" s="179"/>
      <c r="B899" s="179"/>
      <c r="C899" s="179"/>
      <c r="D899" s="179"/>
      <c r="E899" s="179"/>
      <c r="F899" s="179"/>
      <c r="G899" s="179"/>
      <c r="H899" s="179"/>
      <c r="I899" s="181"/>
      <c r="J899" s="179"/>
      <c r="K899" s="179"/>
      <c r="L899" s="182"/>
      <c r="M899" s="182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32"/>
      <c r="Z899" s="179"/>
      <c r="AA899" s="179"/>
      <c r="AB899" s="179"/>
      <c r="AC899" s="179"/>
      <c r="AD899" s="132"/>
      <c r="AE899" s="179"/>
      <c r="AF899" s="179"/>
    </row>
    <row r="900" ht="12.75" customHeight="1" spans="1:32" x14ac:dyDescent="0.25">
      <c r="A900" s="179"/>
      <c r="B900" s="179"/>
      <c r="C900" s="179"/>
      <c r="D900" s="179"/>
      <c r="E900" s="179"/>
      <c r="F900" s="179"/>
      <c r="G900" s="179"/>
      <c r="H900" s="179"/>
      <c r="I900" s="181"/>
      <c r="J900" s="179"/>
      <c r="K900" s="179"/>
      <c r="L900" s="182"/>
      <c r="M900" s="182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32"/>
      <c r="Z900" s="179"/>
      <c r="AA900" s="179"/>
      <c r="AB900" s="179"/>
      <c r="AC900" s="179"/>
      <c r="AD900" s="132"/>
      <c r="AE900" s="179"/>
      <c r="AF900" s="179"/>
    </row>
    <row r="901" ht="12.75" customHeight="1" spans="1:32" x14ac:dyDescent="0.25">
      <c r="A901" s="179"/>
      <c r="B901" s="179"/>
      <c r="C901" s="179"/>
      <c r="D901" s="179"/>
      <c r="E901" s="179"/>
      <c r="F901" s="179"/>
      <c r="G901" s="179"/>
      <c r="H901" s="179"/>
      <c r="I901" s="181"/>
      <c r="J901" s="179"/>
      <c r="K901" s="179"/>
      <c r="L901" s="182"/>
      <c r="M901" s="182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32"/>
      <c r="Z901" s="179"/>
      <c r="AA901" s="179"/>
      <c r="AB901" s="179"/>
      <c r="AC901" s="179"/>
      <c r="AD901" s="132"/>
      <c r="AE901" s="179"/>
      <c r="AF901" s="179"/>
    </row>
    <row r="902" ht="12.75" customHeight="1" spans="1:32" x14ac:dyDescent="0.25">
      <c r="A902" s="179"/>
      <c r="B902" s="179"/>
      <c r="C902" s="179"/>
      <c r="D902" s="179"/>
      <c r="E902" s="179"/>
      <c r="F902" s="179"/>
      <c r="G902" s="179"/>
      <c r="H902" s="179"/>
      <c r="I902" s="181"/>
      <c r="J902" s="179"/>
      <c r="K902" s="179"/>
      <c r="L902" s="182"/>
      <c r="M902" s="182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32"/>
      <c r="Z902" s="179"/>
      <c r="AA902" s="179"/>
      <c r="AB902" s="179"/>
      <c r="AC902" s="179"/>
      <c r="AD902" s="132"/>
      <c r="AE902" s="179"/>
      <c r="AF902" s="179"/>
    </row>
    <row r="903" ht="12.75" customHeight="1" spans="1:32" x14ac:dyDescent="0.25">
      <c r="A903" s="179"/>
      <c r="B903" s="179"/>
      <c r="C903" s="179"/>
      <c r="D903" s="179"/>
      <c r="E903" s="179"/>
      <c r="F903" s="179"/>
      <c r="G903" s="179"/>
      <c r="H903" s="179"/>
      <c r="I903" s="181"/>
      <c r="J903" s="179"/>
      <c r="K903" s="179"/>
      <c r="L903" s="182"/>
      <c r="M903" s="182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32"/>
      <c r="Z903" s="179"/>
      <c r="AA903" s="179"/>
      <c r="AB903" s="179"/>
      <c r="AC903" s="179"/>
      <c r="AD903" s="132"/>
      <c r="AE903" s="179"/>
      <c r="AF903" s="179"/>
    </row>
    <row r="904" ht="12.75" customHeight="1" spans="1:32" x14ac:dyDescent="0.25">
      <c r="A904" s="179"/>
      <c r="B904" s="179"/>
      <c r="C904" s="179"/>
      <c r="D904" s="179"/>
      <c r="E904" s="179"/>
      <c r="F904" s="179"/>
      <c r="G904" s="179"/>
      <c r="H904" s="179"/>
      <c r="I904" s="181"/>
      <c r="J904" s="179"/>
      <c r="K904" s="179"/>
      <c r="L904" s="182"/>
      <c r="M904" s="182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32"/>
      <c r="Z904" s="179"/>
      <c r="AA904" s="179"/>
      <c r="AB904" s="179"/>
      <c r="AC904" s="179"/>
      <c r="AD904" s="132"/>
      <c r="AE904" s="179"/>
      <c r="AF904" s="179"/>
    </row>
    <row r="905" ht="12.75" customHeight="1" spans="1:32" x14ac:dyDescent="0.25">
      <c r="A905" s="179"/>
      <c r="B905" s="179"/>
      <c r="C905" s="179"/>
      <c r="D905" s="179"/>
      <c r="E905" s="179"/>
      <c r="F905" s="179"/>
      <c r="G905" s="179"/>
      <c r="H905" s="179"/>
      <c r="I905" s="181"/>
      <c r="J905" s="179"/>
      <c r="K905" s="179"/>
      <c r="L905" s="182"/>
      <c r="M905" s="182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32"/>
      <c r="Z905" s="179"/>
      <c r="AA905" s="179"/>
      <c r="AB905" s="179"/>
      <c r="AC905" s="179"/>
      <c r="AD905" s="132"/>
      <c r="AE905" s="179"/>
      <c r="AF905" s="179"/>
    </row>
    <row r="906" ht="12.75" customHeight="1" spans="1:32" x14ac:dyDescent="0.25">
      <c r="A906" s="179"/>
      <c r="B906" s="179"/>
      <c r="C906" s="179"/>
      <c r="D906" s="179"/>
      <c r="E906" s="179"/>
      <c r="F906" s="179"/>
      <c r="G906" s="179"/>
      <c r="H906" s="179"/>
      <c r="I906" s="181"/>
      <c r="J906" s="179"/>
      <c r="K906" s="179"/>
      <c r="L906" s="182"/>
      <c r="M906" s="182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32"/>
      <c r="Z906" s="179"/>
      <c r="AA906" s="179"/>
      <c r="AB906" s="179"/>
      <c r="AC906" s="179"/>
      <c r="AD906" s="132"/>
      <c r="AE906" s="179"/>
      <c r="AF906" s="179"/>
    </row>
    <row r="907" ht="12.75" customHeight="1" spans="1:32" x14ac:dyDescent="0.25">
      <c r="A907" s="179"/>
      <c r="B907" s="179"/>
      <c r="C907" s="179"/>
      <c r="D907" s="179"/>
      <c r="E907" s="179"/>
      <c r="F907" s="179"/>
      <c r="G907" s="179"/>
      <c r="H907" s="179"/>
      <c r="I907" s="181"/>
      <c r="J907" s="179"/>
      <c r="K907" s="179"/>
      <c r="L907" s="182"/>
      <c r="M907" s="182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32"/>
      <c r="Z907" s="179"/>
      <c r="AA907" s="179"/>
      <c r="AB907" s="179"/>
      <c r="AC907" s="179"/>
      <c r="AD907" s="132"/>
      <c r="AE907" s="179"/>
      <c r="AF907" s="179"/>
    </row>
    <row r="908" ht="12.75" customHeight="1" spans="1:32" x14ac:dyDescent="0.25">
      <c r="A908" s="179"/>
      <c r="B908" s="179"/>
      <c r="C908" s="179"/>
      <c r="D908" s="179"/>
      <c r="E908" s="179"/>
      <c r="F908" s="179"/>
      <c r="G908" s="179"/>
      <c r="H908" s="179"/>
      <c r="I908" s="181"/>
      <c r="J908" s="179"/>
      <c r="K908" s="179"/>
      <c r="L908" s="182"/>
      <c r="M908" s="182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32"/>
      <c r="Z908" s="179"/>
      <c r="AA908" s="179"/>
      <c r="AB908" s="179"/>
      <c r="AC908" s="179"/>
      <c r="AD908" s="132"/>
      <c r="AE908" s="179"/>
      <c r="AF908" s="179"/>
    </row>
    <row r="909" ht="12.75" customHeight="1" spans="1:32" x14ac:dyDescent="0.25">
      <c r="A909" s="179"/>
      <c r="B909" s="179"/>
      <c r="C909" s="179"/>
      <c r="D909" s="179"/>
      <c r="E909" s="179"/>
      <c r="F909" s="179"/>
      <c r="G909" s="179"/>
      <c r="H909" s="179"/>
      <c r="I909" s="181"/>
      <c r="J909" s="179"/>
      <c r="K909" s="179"/>
      <c r="L909" s="182"/>
      <c r="M909" s="182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32"/>
      <c r="Z909" s="179"/>
      <c r="AA909" s="179"/>
      <c r="AB909" s="179"/>
      <c r="AC909" s="179"/>
      <c r="AD909" s="132"/>
      <c r="AE909" s="179"/>
      <c r="AF909" s="179"/>
    </row>
    <row r="910" ht="12.75" customHeight="1" spans="1:32" x14ac:dyDescent="0.25">
      <c r="A910" s="179"/>
      <c r="B910" s="179"/>
      <c r="C910" s="179"/>
      <c r="D910" s="179"/>
      <c r="E910" s="179"/>
      <c r="F910" s="179"/>
      <c r="G910" s="179"/>
      <c r="H910" s="179"/>
      <c r="I910" s="181"/>
      <c r="J910" s="179"/>
      <c r="K910" s="179"/>
      <c r="L910" s="182"/>
      <c r="M910" s="182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32"/>
      <c r="Z910" s="179"/>
      <c r="AA910" s="179"/>
      <c r="AB910" s="179"/>
      <c r="AC910" s="179"/>
      <c r="AD910" s="132"/>
      <c r="AE910" s="179"/>
      <c r="AF910" s="179"/>
    </row>
    <row r="911" ht="12.75" customHeight="1" spans="1:32" x14ac:dyDescent="0.25">
      <c r="A911" s="179"/>
      <c r="B911" s="179"/>
      <c r="C911" s="179"/>
      <c r="D911" s="179"/>
      <c r="E911" s="179"/>
      <c r="F911" s="179"/>
      <c r="G911" s="179"/>
      <c r="H911" s="179"/>
      <c r="I911" s="181"/>
      <c r="J911" s="179"/>
      <c r="K911" s="179"/>
      <c r="L911" s="182"/>
      <c r="M911" s="182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32"/>
      <c r="Z911" s="179"/>
      <c r="AA911" s="179"/>
      <c r="AB911" s="179"/>
      <c r="AC911" s="179"/>
      <c r="AD911" s="132"/>
      <c r="AE911" s="179"/>
      <c r="AF911" s="179"/>
    </row>
    <row r="912" ht="12.75" customHeight="1" spans="1:32" x14ac:dyDescent="0.25">
      <c r="A912" s="179"/>
      <c r="B912" s="179"/>
      <c r="C912" s="179"/>
      <c r="D912" s="179"/>
      <c r="E912" s="179"/>
      <c r="F912" s="179"/>
      <c r="G912" s="179"/>
      <c r="H912" s="179"/>
      <c r="I912" s="181"/>
      <c r="J912" s="179"/>
      <c r="K912" s="179"/>
      <c r="L912" s="182"/>
      <c r="M912" s="182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32"/>
      <c r="Z912" s="179"/>
      <c r="AA912" s="179"/>
      <c r="AB912" s="179"/>
      <c r="AC912" s="179"/>
      <c r="AD912" s="132"/>
      <c r="AE912" s="179"/>
      <c r="AF912" s="179"/>
    </row>
    <row r="913" ht="12.75" customHeight="1" spans="1:32" x14ac:dyDescent="0.25">
      <c r="A913" s="179"/>
      <c r="B913" s="179"/>
      <c r="C913" s="179"/>
      <c r="D913" s="179"/>
      <c r="E913" s="179"/>
      <c r="F913" s="179"/>
      <c r="G913" s="179"/>
      <c r="H913" s="179"/>
      <c r="I913" s="181"/>
      <c r="J913" s="179"/>
      <c r="K913" s="179"/>
      <c r="L913" s="182"/>
      <c r="M913" s="182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32"/>
      <c r="Z913" s="179"/>
      <c r="AA913" s="179"/>
      <c r="AB913" s="179"/>
      <c r="AC913" s="179"/>
      <c r="AD913" s="132"/>
      <c r="AE913" s="179"/>
      <c r="AF913" s="179"/>
    </row>
    <row r="914" ht="12.75" customHeight="1" spans="1:32" x14ac:dyDescent="0.25">
      <c r="A914" s="179"/>
      <c r="B914" s="179"/>
      <c r="C914" s="179"/>
      <c r="D914" s="179"/>
      <c r="E914" s="179"/>
      <c r="F914" s="179"/>
      <c r="G914" s="179"/>
      <c r="H914" s="179"/>
      <c r="I914" s="181"/>
      <c r="J914" s="179"/>
      <c r="K914" s="179"/>
      <c r="L914" s="182"/>
      <c r="M914" s="182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32"/>
      <c r="Z914" s="179"/>
      <c r="AA914" s="179"/>
      <c r="AB914" s="179"/>
      <c r="AC914" s="179"/>
      <c r="AD914" s="132"/>
      <c r="AE914" s="179"/>
      <c r="AF914" s="179"/>
    </row>
    <row r="915" ht="12.75" customHeight="1" spans="1:32" x14ac:dyDescent="0.25">
      <c r="A915" s="179"/>
      <c r="B915" s="179"/>
      <c r="C915" s="179"/>
      <c r="D915" s="179"/>
      <c r="E915" s="179"/>
      <c r="F915" s="179"/>
      <c r="G915" s="179"/>
      <c r="H915" s="179"/>
      <c r="I915" s="181"/>
      <c r="J915" s="179"/>
      <c r="K915" s="179"/>
      <c r="L915" s="182"/>
      <c r="M915" s="182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32"/>
      <c r="Z915" s="179"/>
      <c r="AA915" s="179"/>
      <c r="AB915" s="179"/>
      <c r="AC915" s="179"/>
      <c r="AD915" s="132"/>
      <c r="AE915" s="179"/>
      <c r="AF915" s="179"/>
    </row>
    <row r="916" ht="12.75" customHeight="1" spans="1:32" x14ac:dyDescent="0.25">
      <c r="A916" s="179"/>
      <c r="B916" s="179"/>
      <c r="C916" s="179"/>
      <c r="D916" s="179"/>
      <c r="E916" s="179"/>
      <c r="F916" s="179"/>
      <c r="G916" s="179"/>
      <c r="H916" s="179"/>
      <c r="I916" s="181"/>
      <c r="J916" s="179"/>
      <c r="K916" s="179"/>
      <c r="L916" s="182"/>
      <c r="M916" s="182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32"/>
      <c r="Z916" s="179"/>
      <c r="AA916" s="179"/>
      <c r="AB916" s="179"/>
      <c r="AC916" s="179"/>
      <c r="AD916" s="132"/>
      <c r="AE916" s="179"/>
      <c r="AF916" s="179"/>
    </row>
    <row r="917" ht="12.75" customHeight="1" spans="1:32" x14ac:dyDescent="0.25">
      <c r="A917" s="179"/>
      <c r="B917" s="179"/>
      <c r="C917" s="179"/>
      <c r="D917" s="179"/>
      <c r="E917" s="179"/>
      <c r="F917" s="179"/>
      <c r="G917" s="179"/>
      <c r="H917" s="179"/>
      <c r="I917" s="181"/>
      <c r="J917" s="179"/>
      <c r="K917" s="179"/>
      <c r="L917" s="182"/>
      <c r="M917" s="182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32"/>
      <c r="Z917" s="179"/>
      <c r="AA917" s="179"/>
      <c r="AB917" s="179"/>
      <c r="AC917" s="179"/>
      <c r="AD917" s="132"/>
      <c r="AE917" s="179"/>
      <c r="AF917" s="179"/>
    </row>
    <row r="918" ht="12.75" customHeight="1" spans="1:32" x14ac:dyDescent="0.25">
      <c r="A918" s="179"/>
      <c r="B918" s="179"/>
      <c r="C918" s="179"/>
      <c r="D918" s="179"/>
      <c r="E918" s="179"/>
      <c r="F918" s="179"/>
      <c r="G918" s="179"/>
      <c r="H918" s="179"/>
      <c r="I918" s="181"/>
      <c r="J918" s="179"/>
      <c r="K918" s="179"/>
      <c r="L918" s="182"/>
      <c r="M918" s="182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32"/>
      <c r="Z918" s="179"/>
      <c r="AA918" s="179"/>
      <c r="AB918" s="179"/>
      <c r="AC918" s="179"/>
      <c r="AD918" s="132"/>
      <c r="AE918" s="179"/>
      <c r="AF918" s="179"/>
    </row>
    <row r="919" ht="12.75" customHeight="1" spans="1:32" x14ac:dyDescent="0.25">
      <c r="A919" s="179"/>
      <c r="B919" s="179"/>
      <c r="C919" s="179"/>
      <c r="D919" s="179"/>
      <c r="E919" s="179"/>
      <c r="F919" s="179"/>
      <c r="G919" s="179"/>
      <c r="H919" s="179"/>
      <c r="I919" s="181"/>
      <c r="J919" s="179"/>
      <c r="K919" s="179"/>
      <c r="L919" s="182"/>
      <c r="M919" s="182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32"/>
      <c r="Z919" s="179"/>
      <c r="AA919" s="179"/>
      <c r="AB919" s="179"/>
      <c r="AC919" s="179"/>
      <c r="AD919" s="132"/>
      <c r="AE919" s="179"/>
      <c r="AF919" s="179"/>
    </row>
    <row r="920" ht="12.75" customHeight="1" spans="1:32" x14ac:dyDescent="0.25">
      <c r="A920" s="179"/>
      <c r="B920" s="179"/>
      <c r="C920" s="179"/>
      <c r="D920" s="179"/>
      <c r="E920" s="179"/>
      <c r="F920" s="179"/>
      <c r="G920" s="179"/>
      <c r="H920" s="179"/>
      <c r="I920" s="181"/>
      <c r="J920" s="179"/>
      <c r="K920" s="179"/>
      <c r="L920" s="182"/>
      <c r="M920" s="182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32"/>
      <c r="Z920" s="179"/>
      <c r="AA920" s="179"/>
      <c r="AB920" s="179"/>
      <c r="AC920" s="179"/>
      <c r="AD920" s="132"/>
      <c r="AE920" s="179"/>
      <c r="AF920" s="179"/>
    </row>
    <row r="921" ht="12.75" customHeight="1" spans="1:32" x14ac:dyDescent="0.25">
      <c r="A921" s="179"/>
      <c r="B921" s="179"/>
      <c r="C921" s="179"/>
      <c r="D921" s="179"/>
      <c r="E921" s="179"/>
      <c r="F921" s="179"/>
      <c r="G921" s="179"/>
      <c r="H921" s="179"/>
      <c r="I921" s="181"/>
      <c r="J921" s="179"/>
      <c r="K921" s="179"/>
      <c r="L921" s="182"/>
      <c r="M921" s="182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32"/>
      <c r="Z921" s="179"/>
      <c r="AA921" s="179"/>
      <c r="AB921" s="179"/>
      <c r="AC921" s="179"/>
      <c r="AD921" s="132"/>
      <c r="AE921" s="179"/>
      <c r="AF921" s="179"/>
    </row>
    <row r="922" ht="12.75" customHeight="1" spans="1:32" x14ac:dyDescent="0.25">
      <c r="A922" s="179"/>
      <c r="B922" s="179"/>
      <c r="C922" s="179"/>
      <c r="D922" s="179"/>
      <c r="E922" s="179"/>
      <c r="F922" s="179"/>
      <c r="G922" s="179"/>
      <c r="H922" s="179"/>
      <c r="I922" s="181"/>
      <c r="J922" s="179"/>
      <c r="K922" s="179"/>
      <c r="L922" s="182"/>
      <c r="M922" s="182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32"/>
      <c r="Z922" s="179"/>
      <c r="AA922" s="179"/>
      <c r="AB922" s="179"/>
      <c r="AC922" s="179"/>
      <c r="AD922" s="132"/>
      <c r="AE922" s="179"/>
      <c r="AF922" s="179"/>
    </row>
    <row r="923" ht="12.75" customHeight="1" spans="1:32" x14ac:dyDescent="0.25">
      <c r="A923" s="179"/>
      <c r="B923" s="179"/>
      <c r="C923" s="179"/>
      <c r="D923" s="179"/>
      <c r="E923" s="179"/>
      <c r="F923" s="179"/>
      <c r="G923" s="179"/>
      <c r="H923" s="179"/>
      <c r="I923" s="181"/>
      <c r="J923" s="179"/>
      <c r="K923" s="179"/>
      <c r="L923" s="182"/>
      <c r="M923" s="182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32"/>
      <c r="Z923" s="179"/>
      <c r="AA923" s="179"/>
      <c r="AB923" s="179"/>
      <c r="AC923" s="179"/>
      <c r="AD923" s="132"/>
      <c r="AE923" s="179"/>
      <c r="AF923" s="179"/>
    </row>
    <row r="924" ht="12.75" customHeight="1" spans="1:32" x14ac:dyDescent="0.25">
      <c r="A924" s="179"/>
      <c r="B924" s="179"/>
      <c r="C924" s="179"/>
      <c r="D924" s="179"/>
      <c r="E924" s="179"/>
      <c r="F924" s="179"/>
      <c r="G924" s="179"/>
      <c r="H924" s="179"/>
      <c r="I924" s="181"/>
      <c r="J924" s="179"/>
      <c r="K924" s="179"/>
      <c r="L924" s="182"/>
      <c r="M924" s="182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32"/>
      <c r="Z924" s="179"/>
      <c r="AA924" s="179"/>
      <c r="AB924" s="179"/>
      <c r="AC924" s="179"/>
      <c r="AD924" s="132"/>
      <c r="AE924" s="179"/>
      <c r="AF924" s="179"/>
    </row>
    <row r="925" ht="12.75" customHeight="1" spans="1:32" x14ac:dyDescent="0.25">
      <c r="A925" s="179"/>
      <c r="B925" s="179"/>
      <c r="C925" s="179"/>
      <c r="D925" s="179"/>
      <c r="E925" s="179"/>
      <c r="F925" s="179"/>
      <c r="G925" s="179"/>
      <c r="H925" s="179"/>
      <c r="I925" s="181"/>
      <c r="J925" s="179"/>
      <c r="K925" s="179"/>
      <c r="L925" s="182"/>
      <c r="M925" s="182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32"/>
      <c r="Z925" s="179"/>
      <c r="AA925" s="179"/>
      <c r="AB925" s="179"/>
      <c r="AC925" s="179"/>
      <c r="AD925" s="132"/>
      <c r="AE925" s="179"/>
      <c r="AF925" s="179"/>
    </row>
    <row r="926" ht="12.75" customHeight="1" spans="1:32" x14ac:dyDescent="0.25">
      <c r="A926" s="179"/>
      <c r="B926" s="179"/>
      <c r="C926" s="179"/>
      <c r="D926" s="179"/>
      <c r="E926" s="179"/>
      <c r="F926" s="179"/>
      <c r="G926" s="179"/>
      <c r="H926" s="179"/>
      <c r="I926" s="181"/>
      <c r="J926" s="179"/>
      <c r="K926" s="179"/>
      <c r="L926" s="182"/>
      <c r="M926" s="182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32"/>
      <c r="Z926" s="179"/>
      <c r="AA926" s="179"/>
      <c r="AB926" s="179"/>
      <c r="AC926" s="179"/>
      <c r="AD926" s="132"/>
      <c r="AE926" s="179"/>
      <c r="AF926" s="179"/>
    </row>
    <row r="927" ht="12.75" customHeight="1" spans="1:32" x14ac:dyDescent="0.25">
      <c r="A927" s="179"/>
      <c r="B927" s="179"/>
      <c r="C927" s="179"/>
      <c r="D927" s="179"/>
      <c r="E927" s="179"/>
      <c r="F927" s="179"/>
      <c r="G927" s="179"/>
      <c r="H927" s="179"/>
      <c r="I927" s="181"/>
      <c r="J927" s="179"/>
      <c r="K927" s="179"/>
      <c r="L927" s="182"/>
      <c r="M927" s="182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32"/>
      <c r="Z927" s="179"/>
      <c r="AA927" s="179"/>
      <c r="AB927" s="179"/>
      <c r="AC927" s="179"/>
      <c r="AD927" s="132"/>
      <c r="AE927" s="179"/>
      <c r="AF927" s="179"/>
    </row>
    <row r="928" ht="12.75" customHeight="1" spans="1:32" x14ac:dyDescent="0.25">
      <c r="A928" s="179"/>
      <c r="B928" s="179"/>
      <c r="C928" s="179"/>
      <c r="D928" s="179"/>
      <c r="E928" s="179"/>
      <c r="F928" s="179"/>
      <c r="G928" s="179"/>
      <c r="H928" s="179"/>
      <c r="I928" s="181"/>
      <c r="J928" s="179"/>
      <c r="K928" s="179"/>
      <c r="L928" s="182"/>
      <c r="M928" s="182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32"/>
      <c r="Z928" s="179"/>
      <c r="AA928" s="179"/>
      <c r="AB928" s="179"/>
      <c r="AC928" s="179"/>
      <c r="AD928" s="132"/>
      <c r="AE928" s="179"/>
      <c r="AF928" s="179"/>
    </row>
    <row r="929" ht="12.75" customHeight="1" spans="1:32" x14ac:dyDescent="0.25">
      <c r="A929" s="179"/>
      <c r="B929" s="179"/>
      <c r="C929" s="179"/>
      <c r="D929" s="179"/>
      <c r="E929" s="179"/>
      <c r="F929" s="179"/>
      <c r="G929" s="179"/>
      <c r="H929" s="179"/>
      <c r="I929" s="181"/>
      <c r="J929" s="179"/>
      <c r="K929" s="179"/>
      <c r="L929" s="182"/>
      <c r="M929" s="182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32"/>
      <c r="Z929" s="179"/>
      <c r="AA929" s="179"/>
      <c r="AB929" s="179"/>
      <c r="AC929" s="179"/>
      <c r="AD929" s="132"/>
      <c r="AE929" s="179"/>
      <c r="AF929" s="179"/>
    </row>
    <row r="930" ht="12.75" customHeight="1" spans="1:32" x14ac:dyDescent="0.25">
      <c r="A930" s="179"/>
      <c r="B930" s="179"/>
      <c r="C930" s="179"/>
      <c r="D930" s="179"/>
      <c r="E930" s="179"/>
      <c r="F930" s="179"/>
      <c r="G930" s="179"/>
      <c r="H930" s="179"/>
      <c r="I930" s="181"/>
      <c r="J930" s="179"/>
      <c r="K930" s="179"/>
      <c r="L930" s="182"/>
      <c r="M930" s="182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32"/>
      <c r="Z930" s="179"/>
      <c r="AA930" s="179"/>
      <c r="AB930" s="179"/>
      <c r="AC930" s="179"/>
      <c r="AD930" s="132"/>
      <c r="AE930" s="179"/>
      <c r="AF930" s="179"/>
    </row>
    <row r="931" ht="12.75" customHeight="1" spans="1:32" x14ac:dyDescent="0.25">
      <c r="A931" s="179"/>
      <c r="B931" s="179"/>
      <c r="C931" s="179"/>
      <c r="D931" s="179"/>
      <c r="E931" s="179"/>
      <c r="F931" s="179"/>
      <c r="G931" s="179"/>
      <c r="H931" s="179"/>
      <c r="I931" s="181"/>
      <c r="J931" s="179"/>
      <c r="K931" s="179"/>
      <c r="L931" s="182"/>
      <c r="M931" s="182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32"/>
      <c r="Z931" s="179"/>
      <c r="AA931" s="179"/>
      <c r="AB931" s="179"/>
      <c r="AC931" s="179"/>
      <c r="AD931" s="132"/>
      <c r="AE931" s="179"/>
      <c r="AF931" s="179"/>
    </row>
    <row r="932" ht="12.75" customHeight="1" spans="1:32" x14ac:dyDescent="0.25">
      <c r="A932" s="179"/>
      <c r="B932" s="179"/>
      <c r="C932" s="179"/>
      <c r="D932" s="179"/>
      <c r="E932" s="179"/>
      <c r="F932" s="179"/>
      <c r="G932" s="179"/>
      <c r="H932" s="179"/>
      <c r="I932" s="181"/>
      <c r="J932" s="179"/>
      <c r="K932" s="179"/>
      <c r="L932" s="182"/>
      <c r="M932" s="182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32"/>
      <c r="Z932" s="179"/>
      <c r="AA932" s="179"/>
      <c r="AB932" s="179"/>
      <c r="AC932" s="179"/>
      <c r="AD932" s="132"/>
      <c r="AE932" s="179"/>
      <c r="AF932" s="179"/>
    </row>
    <row r="933" ht="12.75" customHeight="1" spans="1:32" x14ac:dyDescent="0.25">
      <c r="A933" s="179"/>
      <c r="B933" s="179"/>
      <c r="C933" s="179"/>
      <c r="D933" s="179"/>
      <c r="E933" s="179"/>
      <c r="F933" s="179"/>
      <c r="G933" s="179"/>
      <c r="H933" s="179"/>
      <c r="I933" s="181"/>
      <c r="J933" s="179"/>
      <c r="K933" s="179"/>
      <c r="L933" s="182"/>
      <c r="M933" s="182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32"/>
      <c r="Z933" s="179"/>
      <c r="AA933" s="179"/>
      <c r="AB933" s="179"/>
      <c r="AC933" s="179"/>
      <c r="AD933" s="132"/>
      <c r="AE933" s="179"/>
      <c r="AF933" s="179"/>
    </row>
    <row r="934" ht="12.75" customHeight="1" spans="1:32" x14ac:dyDescent="0.25">
      <c r="A934" s="179"/>
      <c r="B934" s="179"/>
      <c r="C934" s="179"/>
      <c r="D934" s="179"/>
      <c r="E934" s="179"/>
      <c r="F934" s="179"/>
      <c r="G934" s="179"/>
      <c r="H934" s="179"/>
      <c r="I934" s="181"/>
      <c r="J934" s="179"/>
      <c r="K934" s="179"/>
      <c r="L934" s="182"/>
      <c r="M934" s="182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32"/>
      <c r="Z934" s="179"/>
      <c r="AA934" s="179"/>
      <c r="AB934" s="179"/>
      <c r="AC934" s="179"/>
      <c r="AD934" s="132"/>
      <c r="AE934" s="179"/>
      <c r="AF934" s="179"/>
    </row>
    <row r="935" ht="12.75" customHeight="1" spans="1:32" x14ac:dyDescent="0.25">
      <c r="A935" s="179"/>
      <c r="B935" s="179"/>
      <c r="C935" s="179"/>
      <c r="D935" s="179"/>
      <c r="E935" s="179"/>
      <c r="F935" s="179"/>
      <c r="G935" s="179"/>
      <c r="H935" s="179"/>
      <c r="I935" s="181"/>
      <c r="J935" s="179"/>
      <c r="K935" s="179"/>
      <c r="L935" s="182"/>
      <c r="M935" s="182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32"/>
      <c r="Z935" s="179"/>
      <c r="AA935" s="179"/>
      <c r="AB935" s="179"/>
      <c r="AC935" s="179"/>
      <c r="AD935" s="132"/>
      <c r="AE935" s="179"/>
      <c r="AF935" s="179"/>
    </row>
    <row r="936" ht="12.75" customHeight="1" spans="1:32" x14ac:dyDescent="0.25">
      <c r="A936" s="179"/>
      <c r="B936" s="179"/>
      <c r="C936" s="179"/>
      <c r="D936" s="179"/>
      <c r="E936" s="179"/>
      <c r="F936" s="179"/>
      <c r="G936" s="179"/>
      <c r="H936" s="179"/>
      <c r="I936" s="181"/>
      <c r="J936" s="179"/>
      <c r="K936" s="179"/>
      <c r="L936" s="182"/>
      <c r="M936" s="182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32"/>
      <c r="Z936" s="179"/>
      <c r="AA936" s="179"/>
      <c r="AB936" s="179"/>
      <c r="AC936" s="179"/>
      <c r="AD936" s="132"/>
      <c r="AE936" s="179"/>
      <c r="AF936" s="179"/>
    </row>
    <row r="937" ht="12.75" customHeight="1" spans="1:32" x14ac:dyDescent="0.25">
      <c r="A937" s="179"/>
      <c r="B937" s="179"/>
      <c r="C937" s="179"/>
      <c r="D937" s="179"/>
      <c r="E937" s="179"/>
      <c r="F937" s="179"/>
      <c r="G937" s="179"/>
      <c r="H937" s="179"/>
      <c r="I937" s="181"/>
      <c r="J937" s="179"/>
      <c r="K937" s="179"/>
      <c r="L937" s="182"/>
      <c r="M937" s="182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32"/>
      <c r="Z937" s="179"/>
      <c r="AA937" s="179"/>
      <c r="AB937" s="179"/>
      <c r="AC937" s="179"/>
      <c r="AD937" s="132"/>
      <c r="AE937" s="179"/>
      <c r="AF937" s="179"/>
    </row>
    <row r="938" ht="12.75" customHeight="1" spans="1:32" x14ac:dyDescent="0.25">
      <c r="A938" s="179"/>
      <c r="B938" s="179"/>
      <c r="C938" s="179"/>
      <c r="D938" s="179"/>
      <c r="E938" s="179"/>
      <c r="F938" s="179"/>
      <c r="G938" s="179"/>
      <c r="H938" s="179"/>
      <c r="I938" s="181"/>
      <c r="J938" s="179"/>
      <c r="K938" s="179"/>
      <c r="L938" s="182"/>
      <c r="M938" s="182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32"/>
      <c r="Z938" s="179"/>
      <c r="AA938" s="179"/>
      <c r="AB938" s="179"/>
      <c r="AC938" s="179"/>
      <c r="AD938" s="132"/>
      <c r="AE938" s="179"/>
      <c r="AF938" s="179"/>
    </row>
    <row r="939" ht="12.75" customHeight="1" spans="1:32" x14ac:dyDescent="0.25">
      <c r="A939" s="179"/>
      <c r="B939" s="179"/>
      <c r="C939" s="179"/>
      <c r="D939" s="179"/>
      <c r="E939" s="179"/>
      <c r="F939" s="179"/>
      <c r="G939" s="179"/>
      <c r="H939" s="179"/>
      <c r="I939" s="181"/>
      <c r="J939" s="179"/>
      <c r="K939" s="179"/>
      <c r="L939" s="182"/>
      <c r="M939" s="182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32"/>
      <c r="Z939" s="179"/>
      <c r="AA939" s="179"/>
      <c r="AB939" s="179"/>
      <c r="AC939" s="179"/>
      <c r="AD939" s="132"/>
      <c r="AE939" s="179"/>
      <c r="AF939" s="179"/>
    </row>
    <row r="940" ht="12.75" customHeight="1" spans="1:32" x14ac:dyDescent="0.25">
      <c r="A940" s="179"/>
      <c r="B940" s="179"/>
      <c r="C940" s="179"/>
      <c r="D940" s="179"/>
      <c r="E940" s="179"/>
      <c r="F940" s="179"/>
      <c r="G940" s="179"/>
      <c r="H940" s="179"/>
      <c r="I940" s="181"/>
      <c r="J940" s="179"/>
      <c r="K940" s="179"/>
      <c r="L940" s="182"/>
      <c r="M940" s="182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32"/>
      <c r="Z940" s="179"/>
      <c r="AA940" s="179"/>
      <c r="AB940" s="179"/>
      <c r="AC940" s="179"/>
      <c r="AD940" s="132"/>
      <c r="AE940" s="179"/>
      <c r="AF940" s="179"/>
    </row>
    <row r="941" ht="12.75" customHeight="1" spans="1:32" x14ac:dyDescent="0.25">
      <c r="A941" s="179"/>
      <c r="B941" s="179"/>
      <c r="C941" s="179"/>
      <c r="D941" s="179"/>
      <c r="E941" s="179"/>
      <c r="F941" s="179"/>
      <c r="G941" s="179"/>
      <c r="H941" s="179"/>
      <c r="I941" s="181"/>
      <c r="J941" s="179"/>
      <c r="K941" s="179"/>
      <c r="L941" s="182"/>
      <c r="M941" s="182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32"/>
      <c r="Z941" s="179"/>
      <c r="AA941" s="179"/>
      <c r="AB941" s="179"/>
      <c r="AC941" s="179"/>
      <c r="AD941" s="132"/>
      <c r="AE941" s="179"/>
      <c r="AF941" s="179"/>
    </row>
    <row r="942" ht="12.75" customHeight="1" spans="1:32" x14ac:dyDescent="0.25">
      <c r="A942" s="179"/>
      <c r="B942" s="179"/>
      <c r="C942" s="179"/>
      <c r="D942" s="179"/>
      <c r="E942" s="179"/>
      <c r="F942" s="179"/>
      <c r="G942" s="179"/>
      <c r="H942" s="179"/>
      <c r="I942" s="181"/>
      <c r="J942" s="179"/>
      <c r="K942" s="179"/>
      <c r="L942" s="182"/>
      <c r="M942" s="182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32"/>
      <c r="Z942" s="179"/>
      <c r="AA942" s="179"/>
      <c r="AB942" s="179"/>
      <c r="AC942" s="179"/>
      <c r="AD942" s="132"/>
      <c r="AE942" s="179"/>
      <c r="AF942" s="179"/>
    </row>
    <row r="943" ht="12.75" customHeight="1" spans="1:32" x14ac:dyDescent="0.25">
      <c r="A943" s="179"/>
      <c r="B943" s="179"/>
      <c r="C943" s="179"/>
      <c r="D943" s="179"/>
      <c r="E943" s="179"/>
      <c r="F943" s="179"/>
      <c r="G943" s="179"/>
      <c r="H943" s="179"/>
      <c r="I943" s="181"/>
      <c r="J943" s="179"/>
      <c r="K943" s="179"/>
      <c r="L943" s="182"/>
      <c r="M943" s="182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32"/>
      <c r="Z943" s="179"/>
      <c r="AA943" s="179"/>
      <c r="AB943" s="179"/>
      <c r="AC943" s="179"/>
      <c r="AD943" s="132"/>
      <c r="AE943" s="179"/>
      <c r="AF943" s="179"/>
    </row>
    <row r="944" ht="12.75" customHeight="1" spans="1:32" x14ac:dyDescent="0.25">
      <c r="A944" s="179"/>
      <c r="B944" s="179"/>
      <c r="C944" s="179"/>
      <c r="D944" s="179"/>
      <c r="E944" s="179"/>
      <c r="F944" s="179"/>
      <c r="G944" s="179"/>
      <c r="H944" s="179"/>
      <c r="I944" s="181"/>
      <c r="J944" s="179"/>
      <c r="K944" s="179"/>
      <c r="L944" s="182"/>
      <c r="M944" s="182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32"/>
      <c r="Z944" s="179"/>
      <c r="AA944" s="179"/>
      <c r="AB944" s="179"/>
      <c r="AC944" s="179"/>
      <c r="AD944" s="132"/>
      <c r="AE944" s="179"/>
      <c r="AF944" s="179"/>
    </row>
    <row r="945" ht="12.75" customHeight="1" spans="1:32" x14ac:dyDescent="0.25">
      <c r="A945" s="179"/>
      <c r="B945" s="179"/>
      <c r="C945" s="179"/>
      <c r="D945" s="179"/>
      <c r="E945" s="179"/>
      <c r="F945" s="179"/>
      <c r="G945" s="179"/>
      <c r="H945" s="179"/>
      <c r="I945" s="181"/>
      <c r="J945" s="179"/>
      <c r="K945" s="179"/>
      <c r="L945" s="182"/>
      <c r="M945" s="182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32"/>
      <c r="Z945" s="179"/>
      <c r="AA945" s="179"/>
      <c r="AB945" s="179"/>
      <c r="AC945" s="179"/>
      <c r="AD945" s="132"/>
      <c r="AE945" s="179"/>
      <c r="AF945" s="179"/>
    </row>
    <row r="946" ht="12.75" customHeight="1" spans="1:32" x14ac:dyDescent="0.25">
      <c r="A946" s="179"/>
      <c r="B946" s="179"/>
      <c r="C946" s="179"/>
      <c r="D946" s="179"/>
      <c r="E946" s="179"/>
      <c r="F946" s="179"/>
      <c r="G946" s="179"/>
      <c r="H946" s="179"/>
      <c r="I946" s="181"/>
      <c r="J946" s="179"/>
      <c r="K946" s="179"/>
      <c r="L946" s="182"/>
      <c r="M946" s="182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32"/>
      <c r="Z946" s="179"/>
      <c r="AA946" s="179"/>
      <c r="AB946" s="179"/>
      <c r="AC946" s="179"/>
      <c r="AD946" s="132"/>
      <c r="AE946" s="179"/>
      <c r="AF946" s="179"/>
    </row>
    <row r="947" ht="12.75" customHeight="1" spans="1:32" x14ac:dyDescent="0.25">
      <c r="A947" s="179"/>
      <c r="B947" s="179"/>
      <c r="C947" s="179"/>
      <c r="D947" s="179"/>
      <c r="E947" s="179"/>
      <c r="F947" s="179"/>
      <c r="G947" s="179"/>
      <c r="H947" s="179"/>
      <c r="I947" s="181"/>
      <c r="J947" s="179"/>
      <c r="K947" s="179"/>
      <c r="L947" s="182"/>
      <c r="M947" s="182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32"/>
      <c r="Z947" s="179"/>
      <c r="AA947" s="179"/>
      <c r="AB947" s="179"/>
      <c r="AC947" s="179"/>
      <c r="AD947" s="132"/>
      <c r="AE947" s="179"/>
      <c r="AF947" s="179"/>
    </row>
    <row r="948" ht="12.75" customHeight="1" spans="1:32" x14ac:dyDescent="0.25">
      <c r="A948" s="179"/>
      <c r="B948" s="179"/>
      <c r="C948" s="179"/>
      <c r="D948" s="179"/>
      <c r="E948" s="179"/>
      <c r="F948" s="179"/>
      <c r="G948" s="179"/>
      <c r="H948" s="179"/>
      <c r="I948" s="181"/>
      <c r="J948" s="179"/>
      <c r="K948" s="179"/>
      <c r="L948" s="182"/>
      <c r="M948" s="182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32"/>
      <c r="Z948" s="179"/>
      <c r="AA948" s="179"/>
      <c r="AB948" s="179"/>
      <c r="AC948" s="179"/>
      <c r="AD948" s="132"/>
      <c r="AE948" s="179"/>
      <c r="AF948" s="179"/>
    </row>
    <row r="949" ht="12.75" customHeight="1" spans="1:32" x14ac:dyDescent="0.25">
      <c r="A949" s="179"/>
      <c r="B949" s="179"/>
      <c r="C949" s="179"/>
      <c r="D949" s="179"/>
      <c r="E949" s="179"/>
      <c r="F949" s="179"/>
      <c r="G949" s="179"/>
      <c r="H949" s="179"/>
      <c r="I949" s="181"/>
      <c r="J949" s="179"/>
      <c r="K949" s="179"/>
      <c r="L949" s="182"/>
      <c r="M949" s="182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32"/>
      <c r="Z949" s="179"/>
      <c r="AA949" s="179"/>
      <c r="AB949" s="179"/>
      <c r="AC949" s="179"/>
      <c r="AD949" s="132"/>
      <c r="AE949" s="179"/>
      <c r="AF949" s="179"/>
    </row>
    <row r="950" ht="12.75" customHeight="1" spans="1:32" x14ac:dyDescent="0.25">
      <c r="A950" s="179"/>
      <c r="B950" s="179"/>
      <c r="C950" s="179"/>
      <c r="D950" s="179"/>
      <c r="E950" s="179"/>
      <c r="F950" s="179"/>
      <c r="G950" s="179"/>
      <c r="H950" s="179"/>
      <c r="I950" s="181"/>
      <c r="J950" s="179"/>
      <c r="K950" s="179"/>
      <c r="L950" s="182"/>
      <c r="M950" s="182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32"/>
      <c r="Z950" s="179"/>
      <c r="AA950" s="179"/>
      <c r="AB950" s="179"/>
      <c r="AC950" s="179"/>
      <c r="AD950" s="132"/>
      <c r="AE950" s="179"/>
      <c r="AF950" s="179"/>
    </row>
    <row r="951" ht="12.75" customHeight="1" spans="1:32" x14ac:dyDescent="0.25">
      <c r="A951" s="179"/>
      <c r="B951" s="179"/>
      <c r="C951" s="179"/>
      <c r="D951" s="179"/>
      <c r="E951" s="179"/>
      <c r="F951" s="179"/>
      <c r="G951" s="179"/>
      <c r="H951" s="179"/>
      <c r="I951" s="181"/>
      <c r="J951" s="179"/>
      <c r="K951" s="179"/>
      <c r="L951" s="182"/>
      <c r="M951" s="182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32"/>
      <c r="Z951" s="179"/>
      <c r="AA951" s="179"/>
      <c r="AB951" s="179"/>
      <c r="AC951" s="179"/>
      <c r="AD951" s="132"/>
      <c r="AE951" s="179"/>
      <c r="AF951" s="179"/>
    </row>
    <row r="952" ht="12.75" customHeight="1" spans="1:32" x14ac:dyDescent="0.25">
      <c r="A952" s="179"/>
      <c r="B952" s="179"/>
      <c r="C952" s="179"/>
      <c r="D952" s="179"/>
      <c r="E952" s="179"/>
      <c r="F952" s="179"/>
      <c r="G952" s="179"/>
      <c r="H952" s="179"/>
      <c r="I952" s="181"/>
      <c r="J952" s="179"/>
      <c r="K952" s="179"/>
      <c r="L952" s="182"/>
      <c r="M952" s="182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32"/>
      <c r="Z952" s="179"/>
      <c r="AA952" s="179"/>
      <c r="AB952" s="179"/>
      <c r="AC952" s="179"/>
      <c r="AD952" s="132"/>
      <c r="AE952" s="179"/>
      <c r="AF952" s="179"/>
    </row>
    <row r="953" ht="12.75" customHeight="1" spans="1:32" x14ac:dyDescent="0.25">
      <c r="A953" s="179"/>
      <c r="B953" s="179"/>
      <c r="C953" s="179"/>
      <c r="D953" s="179"/>
      <c r="E953" s="179"/>
      <c r="F953" s="179"/>
      <c r="G953" s="179"/>
      <c r="H953" s="179"/>
      <c r="I953" s="181"/>
      <c r="J953" s="179"/>
      <c r="K953" s="179"/>
      <c r="L953" s="182"/>
      <c r="M953" s="182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32"/>
      <c r="Z953" s="179"/>
      <c r="AA953" s="179"/>
      <c r="AB953" s="179"/>
      <c r="AC953" s="179"/>
      <c r="AD953" s="132"/>
      <c r="AE953" s="179"/>
      <c r="AF953" s="179"/>
    </row>
    <row r="954" ht="12.75" customHeight="1" spans="1:32" x14ac:dyDescent="0.25">
      <c r="A954" s="179"/>
      <c r="B954" s="179"/>
      <c r="C954" s="179"/>
      <c r="D954" s="179"/>
      <c r="E954" s="179"/>
      <c r="F954" s="179"/>
      <c r="G954" s="179"/>
      <c r="H954" s="179"/>
      <c r="I954" s="181"/>
      <c r="J954" s="179"/>
      <c r="K954" s="179"/>
      <c r="L954" s="182"/>
      <c r="M954" s="182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32"/>
      <c r="Z954" s="179"/>
      <c r="AA954" s="179"/>
      <c r="AB954" s="179"/>
      <c r="AC954" s="179"/>
      <c r="AD954" s="132"/>
      <c r="AE954" s="179"/>
      <c r="AF954" s="179"/>
    </row>
    <row r="955" ht="12.75" customHeight="1" spans="1:32" x14ac:dyDescent="0.25">
      <c r="A955" s="179"/>
      <c r="B955" s="179"/>
      <c r="C955" s="179"/>
      <c r="D955" s="179"/>
      <c r="E955" s="179"/>
      <c r="F955" s="179"/>
      <c r="G955" s="179"/>
      <c r="H955" s="179"/>
      <c r="I955" s="181"/>
      <c r="J955" s="179"/>
      <c r="K955" s="179"/>
      <c r="L955" s="182"/>
      <c r="M955" s="182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32"/>
      <c r="Z955" s="179"/>
      <c r="AA955" s="179"/>
      <c r="AB955" s="179"/>
      <c r="AC955" s="179"/>
      <c r="AD955" s="132"/>
      <c r="AE955" s="179"/>
      <c r="AF955" s="179"/>
    </row>
    <row r="956" ht="12.75" customHeight="1" spans="1:32" x14ac:dyDescent="0.25">
      <c r="A956" s="179"/>
      <c r="B956" s="179"/>
      <c r="C956" s="179"/>
      <c r="D956" s="179"/>
      <c r="E956" s="179"/>
      <c r="F956" s="179"/>
      <c r="G956" s="179"/>
      <c r="H956" s="179"/>
      <c r="I956" s="181"/>
      <c r="J956" s="179"/>
      <c r="K956" s="179"/>
      <c r="L956" s="182"/>
      <c r="M956" s="182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32"/>
      <c r="Z956" s="179"/>
      <c r="AA956" s="179"/>
      <c r="AB956" s="179"/>
      <c r="AC956" s="179"/>
      <c r="AD956" s="132"/>
      <c r="AE956" s="179"/>
      <c r="AF956" s="179"/>
    </row>
    <row r="957" ht="12.75" customHeight="1" spans="1:32" x14ac:dyDescent="0.25">
      <c r="A957" s="179"/>
      <c r="B957" s="179"/>
      <c r="C957" s="179"/>
      <c r="D957" s="179"/>
      <c r="E957" s="179"/>
      <c r="F957" s="179"/>
      <c r="G957" s="179"/>
      <c r="H957" s="179"/>
      <c r="I957" s="181"/>
      <c r="J957" s="179"/>
      <c r="K957" s="179"/>
      <c r="L957" s="182"/>
      <c r="M957" s="182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32"/>
      <c r="Z957" s="179"/>
      <c r="AA957" s="179"/>
      <c r="AB957" s="179"/>
      <c r="AC957" s="179"/>
      <c r="AD957" s="132"/>
      <c r="AE957" s="179"/>
      <c r="AF957" s="179"/>
    </row>
    <row r="958" ht="12.75" customHeight="1" spans="1:32" x14ac:dyDescent="0.25">
      <c r="A958" s="179"/>
      <c r="B958" s="179"/>
      <c r="C958" s="179"/>
      <c r="D958" s="179"/>
      <c r="E958" s="179"/>
      <c r="F958" s="179"/>
      <c r="G958" s="179"/>
      <c r="H958" s="179"/>
      <c r="I958" s="181"/>
      <c r="J958" s="179"/>
      <c r="K958" s="179"/>
      <c r="L958" s="182"/>
      <c r="M958" s="182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32"/>
      <c r="Z958" s="179"/>
      <c r="AA958" s="179"/>
      <c r="AB958" s="179"/>
      <c r="AC958" s="179"/>
      <c r="AD958" s="132"/>
      <c r="AE958" s="179"/>
      <c r="AF958" s="179"/>
    </row>
    <row r="959" ht="12.75" customHeight="1" spans="1:32" x14ac:dyDescent="0.25">
      <c r="A959" s="179"/>
      <c r="B959" s="179"/>
      <c r="C959" s="179"/>
      <c r="D959" s="179"/>
      <c r="E959" s="179"/>
      <c r="F959" s="179"/>
      <c r="G959" s="179"/>
      <c r="H959" s="179"/>
      <c r="I959" s="181"/>
      <c r="J959" s="179"/>
      <c r="K959" s="179"/>
      <c r="L959" s="182"/>
      <c r="M959" s="182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32"/>
      <c r="Z959" s="179"/>
      <c r="AA959" s="179"/>
      <c r="AB959" s="179"/>
      <c r="AC959" s="179"/>
      <c r="AD959" s="132"/>
      <c r="AE959" s="179"/>
      <c r="AF959" s="179"/>
    </row>
    <row r="960" ht="12.75" customHeight="1" spans="1:32" x14ac:dyDescent="0.25">
      <c r="A960" s="179"/>
      <c r="B960" s="179"/>
      <c r="C960" s="179"/>
      <c r="D960" s="179"/>
      <c r="E960" s="179"/>
      <c r="F960" s="179"/>
      <c r="G960" s="179"/>
      <c r="H960" s="179"/>
      <c r="I960" s="181"/>
      <c r="J960" s="179"/>
      <c r="K960" s="179"/>
      <c r="L960" s="182"/>
      <c r="M960" s="182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32"/>
      <c r="Z960" s="179"/>
      <c r="AA960" s="179"/>
      <c r="AB960" s="179"/>
      <c r="AC960" s="179"/>
      <c r="AD960" s="132"/>
      <c r="AE960" s="179"/>
      <c r="AF960" s="179"/>
    </row>
    <row r="961" ht="12.75" customHeight="1" spans="1:32" x14ac:dyDescent="0.25">
      <c r="A961" s="179"/>
      <c r="B961" s="179"/>
      <c r="C961" s="179"/>
      <c r="D961" s="179"/>
      <c r="E961" s="179"/>
      <c r="F961" s="179"/>
      <c r="G961" s="179"/>
      <c r="H961" s="179"/>
      <c r="I961" s="181"/>
      <c r="J961" s="179"/>
      <c r="K961" s="179"/>
      <c r="L961" s="182"/>
      <c r="M961" s="182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32"/>
      <c r="Z961" s="179"/>
      <c r="AA961" s="179"/>
      <c r="AB961" s="179"/>
      <c r="AC961" s="179"/>
      <c r="AD961" s="132"/>
      <c r="AE961" s="179"/>
      <c r="AF961" s="179"/>
    </row>
    <row r="962" ht="12.75" customHeight="1" spans="1:32" x14ac:dyDescent="0.25">
      <c r="A962" s="179"/>
      <c r="B962" s="179"/>
      <c r="C962" s="179"/>
      <c r="D962" s="179"/>
      <c r="E962" s="179"/>
      <c r="F962" s="179"/>
      <c r="G962" s="179"/>
      <c r="H962" s="179"/>
      <c r="I962" s="181"/>
      <c r="J962" s="179"/>
      <c r="K962" s="179"/>
      <c r="L962" s="182"/>
      <c r="M962" s="182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32"/>
      <c r="Z962" s="179"/>
      <c r="AA962" s="179"/>
      <c r="AB962" s="179"/>
      <c r="AC962" s="179"/>
      <c r="AD962" s="132"/>
      <c r="AE962" s="179"/>
      <c r="AF962" s="179"/>
    </row>
    <row r="963" ht="12.75" customHeight="1" spans="1:32" x14ac:dyDescent="0.25">
      <c r="A963" s="179"/>
      <c r="B963" s="179"/>
      <c r="C963" s="179"/>
      <c r="D963" s="179"/>
      <c r="E963" s="179"/>
      <c r="F963" s="179"/>
      <c r="G963" s="179"/>
      <c r="H963" s="179"/>
      <c r="I963" s="181"/>
      <c r="J963" s="179"/>
      <c r="K963" s="179"/>
      <c r="L963" s="182"/>
      <c r="M963" s="182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32"/>
      <c r="Z963" s="179"/>
      <c r="AA963" s="179"/>
      <c r="AB963" s="179"/>
      <c r="AC963" s="179"/>
      <c r="AD963" s="132"/>
      <c r="AE963" s="179"/>
      <c r="AF963" s="179"/>
    </row>
    <row r="964" ht="12.75" customHeight="1" spans="1:32" x14ac:dyDescent="0.25">
      <c r="A964" s="179"/>
      <c r="B964" s="179"/>
      <c r="C964" s="179"/>
      <c r="D964" s="179"/>
      <c r="E964" s="179"/>
      <c r="F964" s="179"/>
      <c r="G964" s="179"/>
      <c r="H964" s="179"/>
      <c r="I964" s="181"/>
      <c r="J964" s="179"/>
      <c r="K964" s="179"/>
      <c r="L964" s="182"/>
      <c r="M964" s="182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32"/>
      <c r="Z964" s="179"/>
      <c r="AA964" s="179"/>
      <c r="AB964" s="179"/>
      <c r="AC964" s="179"/>
      <c r="AD964" s="132"/>
      <c r="AE964" s="179"/>
      <c r="AF964" s="179"/>
    </row>
    <row r="965" ht="12.75" customHeight="1" spans="1:32" x14ac:dyDescent="0.25">
      <c r="A965" s="179"/>
      <c r="B965" s="179"/>
      <c r="C965" s="179"/>
      <c r="D965" s="179"/>
      <c r="E965" s="179"/>
      <c r="F965" s="179"/>
      <c r="G965" s="179"/>
      <c r="H965" s="179"/>
      <c r="I965" s="181"/>
      <c r="J965" s="179"/>
      <c r="K965" s="179"/>
      <c r="L965" s="182"/>
      <c r="M965" s="182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32"/>
      <c r="Z965" s="179"/>
      <c r="AA965" s="179"/>
      <c r="AB965" s="179"/>
      <c r="AC965" s="179"/>
      <c r="AD965" s="132"/>
      <c r="AE965" s="179"/>
      <c r="AF965" s="179"/>
    </row>
    <row r="966" ht="12.75" customHeight="1" spans="1:32" x14ac:dyDescent="0.25">
      <c r="A966" s="179"/>
      <c r="B966" s="179"/>
      <c r="C966" s="179"/>
      <c r="D966" s="179"/>
      <c r="E966" s="179"/>
      <c r="F966" s="179"/>
      <c r="G966" s="179"/>
      <c r="H966" s="179"/>
      <c r="I966" s="181"/>
      <c r="J966" s="179"/>
      <c r="K966" s="179"/>
      <c r="L966" s="182"/>
      <c r="M966" s="182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32"/>
      <c r="Z966" s="179"/>
      <c r="AA966" s="179"/>
      <c r="AB966" s="179"/>
      <c r="AC966" s="179"/>
      <c r="AD966" s="132"/>
      <c r="AE966" s="179"/>
      <c r="AF966" s="179"/>
    </row>
    <row r="967" ht="12.75" customHeight="1" spans="1:32" x14ac:dyDescent="0.25">
      <c r="A967" s="179"/>
      <c r="B967" s="179"/>
      <c r="C967" s="179"/>
      <c r="D967" s="179"/>
      <c r="E967" s="179"/>
      <c r="F967" s="179"/>
      <c r="G967" s="179"/>
      <c r="H967" s="179"/>
      <c r="I967" s="181"/>
      <c r="J967" s="179"/>
      <c r="K967" s="179"/>
      <c r="L967" s="182"/>
      <c r="M967" s="182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32"/>
      <c r="Z967" s="179"/>
      <c r="AA967" s="179"/>
      <c r="AB967" s="179"/>
      <c r="AC967" s="179"/>
      <c r="AD967" s="132"/>
      <c r="AE967" s="179"/>
      <c r="AF967" s="179"/>
    </row>
    <row r="968" ht="12.75" customHeight="1" spans="1:32" x14ac:dyDescent="0.25">
      <c r="A968" s="179"/>
      <c r="B968" s="179"/>
      <c r="C968" s="179"/>
      <c r="D968" s="179"/>
      <c r="E968" s="179"/>
      <c r="F968" s="179"/>
      <c r="G968" s="179"/>
      <c r="H968" s="179"/>
      <c r="I968" s="181"/>
      <c r="J968" s="179"/>
      <c r="K968" s="179"/>
      <c r="L968" s="182"/>
      <c r="M968" s="182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32"/>
      <c r="Z968" s="179"/>
      <c r="AA968" s="179"/>
      <c r="AB968" s="179"/>
      <c r="AC968" s="179"/>
      <c r="AD968" s="132"/>
      <c r="AE968" s="179"/>
      <c r="AF968" s="179"/>
    </row>
    <row r="969" ht="12.75" customHeight="1" spans="1:32" x14ac:dyDescent="0.25">
      <c r="A969" s="179"/>
      <c r="B969" s="179"/>
      <c r="C969" s="179"/>
      <c r="D969" s="179"/>
      <c r="E969" s="179"/>
      <c r="F969" s="179"/>
      <c r="G969" s="179"/>
      <c r="H969" s="179"/>
      <c r="I969" s="181"/>
      <c r="J969" s="179"/>
      <c r="K969" s="179"/>
      <c r="L969" s="182"/>
      <c r="M969" s="182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32"/>
      <c r="Z969" s="179"/>
      <c r="AA969" s="179"/>
      <c r="AB969" s="179"/>
      <c r="AC969" s="179"/>
      <c r="AD969" s="132"/>
      <c r="AE969" s="179"/>
      <c r="AF969" s="179"/>
    </row>
    <row r="970" ht="12.75" customHeight="1" spans="1:32" x14ac:dyDescent="0.25">
      <c r="A970" s="179"/>
      <c r="B970" s="179"/>
      <c r="C970" s="179"/>
      <c r="D970" s="179"/>
      <c r="E970" s="179"/>
      <c r="F970" s="179"/>
      <c r="G970" s="179"/>
      <c r="H970" s="179"/>
      <c r="I970" s="181"/>
      <c r="J970" s="179"/>
      <c r="K970" s="179"/>
      <c r="L970" s="182"/>
      <c r="M970" s="182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32"/>
      <c r="Z970" s="179"/>
      <c r="AA970" s="179"/>
      <c r="AB970" s="179"/>
      <c r="AC970" s="179"/>
      <c r="AD970" s="132"/>
      <c r="AE970" s="179"/>
      <c r="AF970" s="179"/>
    </row>
    <row r="971" ht="12.75" customHeight="1" spans="1:32" x14ac:dyDescent="0.25">
      <c r="A971" s="179"/>
      <c r="B971" s="179"/>
      <c r="C971" s="179"/>
      <c r="D971" s="179"/>
      <c r="E971" s="179"/>
      <c r="F971" s="179"/>
      <c r="G971" s="179"/>
      <c r="H971" s="179"/>
      <c r="I971" s="181"/>
      <c r="J971" s="179"/>
      <c r="K971" s="179"/>
      <c r="L971" s="182"/>
      <c r="M971" s="182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32"/>
      <c r="Z971" s="179"/>
      <c r="AA971" s="179"/>
      <c r="AB971" s="179"/>
      <c r="AC971" s="179"/>
      <c r="AD971" s="132"/>
      <c r="AE971" s="179"/>
      <c r="AF971" s="179"/>
    </row>
    <row r="972" ht="12.75" customHeight="1" spans="1:32" x14ac:dyDescent="0.25">
      <c r="A972" s="179"/>
      <c r="B972" s="179"/>
      <c r="C972" s="179"/>
      <c r="D972" s="179"/>
      <c r="E972" s="179"/>
      <c r="F972" s="179"/>
      <c r="G972" s="179"/>
      <c r="H972" s="179"/>
      <c r="I972" s="181"/>
      <c r="J972" s="179"/>
      <c r="K972" s="179"/>
      <c r="L972" s="182"/>
      <c r="M972" s="182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32"/>
      <c r="Z972" s="179"/>
      <c r="AA972" s="179"/>
      <c r="AB972" s="179"/>
      <c r="AC972" s="179"/>
      <c r="AD972" s="132"/>
      <c r="AE972" s="179"/>
      <c r="AF972" s="179"/>
    </row>
    <row r="973" ht="12.75" customHeight="1" spans="1:32" x14ac:dyDescent="0.25">
      <c r="A973" s="179"/>
      <c r="B973" s="179"/>
      <c r="C973" s="179"/>
      <c r="D973" s="179"/>
      <c r="E973" s="179"/>
      <c r="F973" s="179"/>
      <c r="G973" s="179"/>
      <c r="H973" s="179"/>
      <c r="I973" s="181"/>
      <c r="J973" s="179"/>
      <c r="K973" s="179"/>
      <c r="L973" s="182"/>
      <c r="M973" s="182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32"/>
      <c r="Z973" s="179"/>
      <c r="AA973" s="179"/>
      <c r="AB973" s="179"/>
      <c r="AC973" s="179"/>
      <c r="AD973" s="132"/>
      <c r="AE973" s="179"/>
      <c r="AF973" s="179"/>
    </row>
    <row r="974" ht="12.75" customHeight="1" spans="1:32" x14ac:dyDescent="0.25">
      <c r="A974" s="179"/>
      <c r="B974" s="179"/>
      <c r="C974" s="179"/>
      <c r="D974" s="179"/>
      <c r="E974" s="179"/>
      <c r="F974" s="179"/>
      <c r="G974" s="179"/>
      <c r="H974" s="179"/>
      <c r="I974" s="181"/>
      <c r="J974" s="179"/>
      <c r="K974" s="179"/>
      <c r="L974" s="182"/>
      <c r="M974" s="182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32"/>
      <c r="Z974" s="179"/>
      <c r="AA974" s="179"/>
      <c r="AB974" s="179"/>
      <c r="AC974" s="179"/>
      <c r="AD974" s="132"/>
      <c r="AE974" s="179"/>
      <c r="AF974" s="179"/>
    </row>
    <row r="975" ht="12.75" customHeight="1" spans="1:32" x14ac:dyDescent="0.25">
      <c r="A975" s="179"/>
      <c r="B975" s="179"/>
      <c r="C975" s="179"/>
      <c r="D975" s="179"/>
      <c r="E975" s="179"/>
      <c r="F975" s="179"/>
      <c r="G975" s="179"/>
      <c r="H975" s="179"/>
      <c r="I975" s="181"/>
      <c r="J975" s="179"/>
      <c r="K975" s="179"/>
      <c r="L975" s="182"/>
      <c r="M975" s="182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32"/>
      <c r="Z975" s="179"/>
      <c r="AA975" s="179"/>
      <c r="AB975" s="179"/>
      <c r="AC975" s="179"/>
      <c r="AD975" s="132"/>
      <c r="AE975" s="179"/>
      <c r="AF975" s="179"/>
    </row>
    <row r="976" ht="12.75" customHeight="1" spans="1:32" x14ac:dyDescent="0.25">
      <c r="A976" s="179"/>
      <c r="B976" s="179"/>
      <c r="C976" s="179"/>
      <c r="D976" s="179"/>
      <c r="E976" s="179"/>
      <c r="F976" s="179"/>
      <c r="G976" s="179"/>
      <c r="H976" s="179"/>
      <c r="I976" s="181"/>
      <c r="J976" s="179"/>
      <c r="K976" s="179"/>
      <c r="L976" s="182"/>
      <c r="M976" s="182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32"/>
      <c r="Z976" s="179"/>
      <c r="AA976" s="179"/>
      <c r="AB976" s="179"/>
      <c r="AC976" s="179"/>
      <c r="AD976" s="132"/>
      <c r="AE976" s="179"/>
      <c r="AF976" s="179"/>
    </row>
    <row r="977" ht="12.75" customHeight="1" spans="1:32" x14ac:dyDescent="0.25">
      <c r="A977" s="179"/>
      <c r="B977" s="179"/>
      <c r="C977" s="179"/>
      <c r="D977" s="179"/>
      <c r="E977" s="179"/>
      <c r="F977" s="179"/>
      <c r="G977" s="179"/>
      <c r="H977" s="179"/>
      <c r="I977" s="181"/>
      <c r="J977" s="179"/>
      <c r="K977" s="179"/>
      <c r="L977" s="182"/>
      <c r="M977" s="182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32"/>
      <c r="Z977" s="179"/>
      <c r="AA977" s="179"/>
      <c r="AB977" s="179"/>
      <c r="AC977" s="179"/>
      <c r="AD977" s="132"/>
      <c r="AE977" s="179"/>
      <c r="AF977" s="179"/>
    </row>
    <row r="978" ht="12.75" customHeight="1" spans="1:32" x14ac:dyDescent="0.25">
      <c r="A978" s="179"/>
      <c r="B978" s="179"/>
      <c r="C978" s="179"/>
      <c r="D978" s="179"/>
      <c r="E978" s="179"/>
      <c r="F978" s="179"/>
      <c r="G978" s="179"/>
      <c r="H978" s="179"/>
      <c r="I978" s="181"/>
      <c r="J978" s="179"/>
      <c r="K978" s="179"/>
      <c r="L978" s="182"/>
      <c r="M978" s="182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32"/>
      <c r="Z978" s="179"/>
      <c r="AA978" s="179"/>
      <c r="AB978" s="179"/>
      <c r="AC978" s="179"/>
      <c r="AD978" s="132"/>
      <c r="AE978" s="179"/>
      <c r="AF978" s="179"/>
    </row>
    <row r="979" ht="12.75" customHeight="1" spans="1:32" x14ac:dyDescent="0.25">
      <c r="A979" s="179"/>
      <c r="B979" s="179"/>
      <c r="C979" s="179"/>
      <c r="D979" s="179"/>
      <c r="E979" s="179"/>
      <c r="F979" s="179"/>
      <c r="G979" s="179"/>
      <c r="H979" s="179"/>
      <c r="I979" s="181"/>
      <c r="J979" s="179"/>
      <c r="K979" s="179"/>
      <c r="L979" s="182"/>
      <c r="M979" s="182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32"/>
      <c r="Z979" s="179"/>
      <c r="AA979" s="179"/>
      <c r="AB979" s="179"/>
      <c r="AC979" s="179"/>
      <c r="AD979" s="132"/>
      <c r="AE979" s="179"/>
      <c r="AF979" s="179"/>
    </row>
    <row r="980" ht="12.75" customHeight="1" spans="1:32" x14ac:dyDescent="0.25">
      <c r="A980" s="179"/>
      <c r="B980" s="179"/>
      <c r="C980" s="179"/>
      <c r="D980" s="179"/>
      <c r="E980" s="179"/>
      <c r="F980" s="179"/>
      <c r="G980" s="179"/>
      <c r="H980" s="179"/>
      <c r="I980" s="181"/>
      <c r="J980" s="179"/>
      <c r="K980" s="179"/>
      <c r="L980" s="182"/>
      <c r="M980" s="182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32"/>
      <c r="Z980" s="179"/>
      <c r="AA980" s="179"/>
      <c r="AB980" s="179"/>
      <c r="AC980" s="179"/>
      <c r="AD980" s="132"/>
      <c r="AE980" s="179"/>
      <c r="AF980" s="179"/>
    </row>
    <row r="981" ht="12.75" customHeight="1" spans="1:32" x14ac:dyDescent="0.25">
      <c r="A981" s="179"/>
      <c r="B981" s="179"/>
      <c r="C981" s="179"/>
      <c r="D981" s="179"/>
      <c r="E981" s="179"/>
      <c r="F981" s="179"/>
      <c r="G981" s="179"/>
      <c r="H981" s="179"/>
      <c r="I981" s="181"/>
      <c r="J981" s="179"/>
      <c r="K981" s="179"/>
      <c r="L981" s="182"/>
      <c r="M981" s="182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32"/>
      <c r="Z981" s="179"/>
      <c r="AA981" s="179"/>
      <c r="AB981" s="179"/>
      <c r="AC981" s="179"/>
      <c r="AD981" s="132"/>
      <c r="AE981" s="179"/>
      <c r="AF981" s="179"/>
    </row>
    <row r="982" ht="12.75" customHeight="1" spans="1:32" x14ac:dyDescent="0.25">
      <c r="A982" s="179"/>
      <c r="B982" s="179"/>
      <c r="C982" s="179"/>
      <c r="D982" s="179"/>
      <c r="E982" s="179"/>
      <c r="F982" s="179"/>
      <c r="G982" s="179"/>
      <c r="H982" s="179"/>
      <c r="I982" s="181"/>
      <c r="J982" s="179"/>
      <c r="K982" s="179"/>
      <c r="L982" s="182"/>
      <c r="M982" s="182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32"/>
      <c r="Z982" s="179"/>
      <c r="AA982" s="179"/>
      <c r="AB982" s="179"/>
      <c r="AC982" s="179"/>
      <c r="AD982" s="132"/>
      <c r="AE982" s="179"/>
      <c r="AF982" s="179"/>
    </row>
    <row r="983" ht="12.75" customHeight="1" spans="1:32" x14ac:dyDescent="0.25">
      <c r="A983" s="179"/>
      <c r="B983" s="179"/>
      <c r="C983" s="179"/>
      <c r="D983" s="179"/>
      <c r="E983" s="179"/>
      <c r="F983" s="179"/>
      <c r="G983" s="179"/>
      <c r="H983" s="179"/>
      <c r="I983" s="181"/>
      <c r="J983" s="179"/>
      <c r="K983" s="179"/>
      <c r="L983" s="182"/>
      <c r="M983" s="182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32"/>
      <c r="Z983" s="179"/>
      <c r="AA983" s="179"/>
      <c r="AB983" s="179"/>
      <c r="AC983" s="179"/>
      <c r="AD983" s="132"/>
      <c r="AE983" s="179"/>
      <c r="AF983" s="179"/>
    </row>
    <row r="984" ht="12.75" customHeight="1" spans="1:32" x14ac:dyDescent="0.25">
      <c r="A984" s="179"/>
      <c r="B984" s="179"/>
      <c r="C984" s="179"/>
      <c r="D984" s="179"/>
      <c r="E984" s="179"/>
      <c r="F984" s="179"/>
      <c r="G984" s="179"/>
      <c r="H984" s="179"/>
      <c r="I984" s="181"/>
      <c r="J984" s="179"/>
      <c r="K984" s="179"/>
      <c r="L984" s="182"/>
      <c r="M984" s="182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32"/>
      <c r="Z984" s="179"/>
      <c r="AA984" s="179"/>
      <c r="AB984" s="179"/>
      <c r="AC984" s="179"/>
      <c r="AD984" s="132"/>
      <c r="AE984" s="179"/>
      <c r="AF984" s="179"/>
    </row>
    <row r="985" ht="12.75" customHeight="1" spans="1:32" x14ac:dyDescent="0.25">
      <c r="A985" s="179"/>
      <c r="B985" s="179"/>
      <c r="C985" s="179"/>
      <c r="D985" s="179"/>
      <c r="E985" s="179"/>
      <c r="F985" s="179"/>
      <c r="G985" s="179"/>
      <c r="H985" s="179"/>
      <c r="I985" s="181"/>
      <c r="J985" s="179"/>
      <c r="K985" s="179"/>
      <c r="L985" s="182"/>
      <c r="M985" s="182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32"/>
      <c r="Z985" s="179"/>
      <c r="AA985" s="179"/>
      <c r="AB985" s="179"/>
      <c r="AC985" s="179"/>
      <c r="AD985" s="132"/>
      <c r="AE985" s="179"/>
      <c r="AF985" s="179"/>
    </row>
    <row r="986" ht="12.75" customHeight="1" spans="1:32" x14ac:dyDescent="0.25">
      <c r="A986" s="179"/>
      <c r="B986" s="179"/>
      <c r="C986" s="179"/>
      <c r="D986" s="179"/>
      <c r="E986" s="179"/>
      <c r="F986" s="179"/>
      <c r="G986" s="179"/>
      <c r="H986" s="179"/>
      <c r="I986" s="181"/>
      <c r="J986" s="179"/>
      <c r="K986" s="179"/>
      <c r="L986" s="182"/>
      <c r="M986" s="182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32"/>
      <c r="Z986" s="179"/>
      <c r="AA986" s="179"/>
      <c r="AB986" s="179"/>
      <c r="AC986" s="179"/>
      <c r="AD986" s="132"/>
      <c r="AE986" s="179"/>
      <c r="AF986" s="179"/>
    </row>
    <row r="987" ht="12.75" customHeight="1" spans="1:32" x14ac:dyDescent="0.25">
      <c r="A987" s="179"/>
      <c r="B987" s="179"/>
      <c r="C987" s="179"/>
      <c r="D987" s="179"/>
      <c r="E987" s="179"/>
      <c r="F987" s="179"/>
      <c r="G987" s="179"/>
      <c r="H987" s="179"/>
      <c r="I987" s="181"/>
      <c r="J987" s="179"/>
      <c r="K987" s="179"/>
      <c r="L987" s="182"/>
      <c r="M987" s="182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32"/>
      <c r="Z987" s="179"/>
      <c r="AA987" s="179"/>
      <c r="AB987" s="179"/>
      <c r="AC987" s="179"/>
      <c r="AD987" s="132"/>
      <c r="AE987" s="179"/>
      <c r="AF987" s="179"/>
    </row>
    <row r="988" ht="12.75" customHeight="1" spans="1:32" x14ac:dyDescent="0.25">
      <c r="A988" s="179"/>
      <c r="B988" s="179"/>
      <c r="C988" s="179"/>
      <c r="D988" s="179"/>
      <c r="E988" s="179"/>
      <c r="F988" s="179"/>
      <c r="G988" s="179"/>
      <c r="H988" s="179"/>
      <c r="I988" s="181"/>
      <c r="J988" s="179"/>
      <c r="K988" s="179"/>
      <c r="L988" s="182"/>
      <c r="M988" s="182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32"/>
      <c r="Z988" s="179"/>
      <c r="AA988" s="179"/>
      <c r="AB988" s="179"/>
      <c r="AC988" s="179"/>
      <c r="AD988" s="132"/>
      <c r="AE988" s="179"/>
      <c r="AF988" s="179"/>
    </row>
    <row r="989" ht="12.75" customHeight="1" spans="1:32" x14ac:dyDescent="0.25">
      <c r="A989" s="179"/>
      <c r="B989" s="179"/>
      <c r="C989" s="179"/>
      <c r="D989" s="179"/>
      <c r="E989" s="179"/>
      <c r="F989" s="179"/>
      <c r="G989" s="179"/>
      <c r="H989" s="179"/>
      <c r="I989" s="181"/>
      <c r="J989" s="179"/>
      <c r="K989" s="179"/>
      <c r="L989" s="182"/>
      <c r="M989" s="182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32"/>
      <c r="Z989" s="179"/>
      <c r="AA989" s="179"/>
      <c r="AB989" s="179"/>
      <c r="AC989" s="179"/>
      <c r="AD989" s="132"/>
      <c r="AE989" s="179"/>
      <c r="AF989" s="179"/>
    </row>
    <row r="990" ht="12.75" customHeight="1" spans="1:32" x14ac:dyDescent="0.25">
      <c r="A990" s="179"/>
      <c r="B990" s="179"/>
      <c r="C990" s="179"/>
      <c r="D990" s="179"/>
      <c r="E990" s="179"/>
      <c r="F990" s="179"/>
      <c r="G990" s="179"/>
      <c r="H990" s="179"/>
      <c r="I990" s="181"/>
      <c r="J990" s="179"/>
      <c r="K990" s="179"/>
      <c r="L990" s="182"/>
      <c r="M990" s="182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32"/>
      <c r="Z990" s="179"/>
      <c r="AA990" s="179"/>
      <c r="AB990" s="179"/>
      <c r="AC990" s="179"/>
      <c r="AD990" s="132"/>
      <c r="AE990" s="179"/>
      <c r="AF990" s="179"/>
    </row>
    <row r="991" ht="12.75" customHeight="1" spans="1:32" x14ac:dyDescent="0.25">
      <c r="A991" s="179"/>
      <c r="B991" s="179"/>
      <c r="C991" s="179"/>
      <c r="D991" s="179"/>
      <c r="E991" s="179"/>
      <c r="F991" s="179"/>
      <c r="G991" s="179"/>
      <c r="H991" s="179"/>
      <c r="I991" s="181"/>
      <c r="J991" s="179"/>
      <c r="K991" s="179"/>
      <c r="L991" s="182"/>
      <c r="M991" s="182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32"/>
      <c r="Z991" s="179"/>
      <c r="AA991" s="179"/>
      <c r="AB991" s="179"/>
      <c r="AC991" s="179"/>
      <c r="AD991" s="132"/>
      <c r="AE991" s="179"/>
      <c r="AF991" s="179"/>
    </row>
    <row r="992" ht="12.75" customHeight="1" spans="1:32" x14ac:dyDescent="0.25">
      <c r="A992" s="179"/>
      <c r="B992" s="179"/>
      <c r="C992" s="179"/>
      <c r="D992" s="179"/>
      <c r="E992" s="179"/>
      <c r="F992" s="179"/>
      <c r="G992" s="179"/>
      <c r="H992" s="179"/>
      <c r="I992" s="181"/>
      <c r="J992" s="179"/>
      <c r="K992" s="179"/>
      <c r="L992" s="182"/>
      <c r="M992" s="182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32"/>
      <c r="Z992" s="179"/>
      <c r="AA992" s="179"/>
      <c r="AB992" s="179"/>
      <c r="AC992" s="179"/>
      <c r="AD992" s="132"/>
      <c r="AE992" s="179"/>
      <c r="AF992" s="179"/>
    </row>
    <row r="993" ht="12.75" customHeight="1" spans="1:32" x14ac:dyDescent="0.25">
      <c r="A993" s="179"/>
      <c r="B993" s="179"/>
      <c r="C993" s="179"/>
      <c r="D993" s="179"/>
      <c r="E993" s="179"/>
      <c r="F993" s="179"/>
      <c r="G993" s="179"/>
      <c r="H993" s="179"/>
      <c r="I993" s="181"/>
      <c r="J993" s="179"/>
      <c r="K993" s="179"/>
      <c r="L993" s="182"/>
      <c r="M993" s="182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32"/>
      <c r="Z993" s="179"/>
      <c r="AA993" s="179"/>
      <c r="AB993" s="179"/>
      <c r="AC993" s="179"/>
      <c r="AD993" s="132"/>
      <c r="AE993" s="179"/>
      <c r="AF993" s="179"/>
    </row>
    <row r="994" ht="12.75" customHeight="1" spans="1:32" x14ac:dyDescent="0.25">
      <c r="A994" s="179"/>
      <c r="B994" s="179"/>
      <c r="C994" s="179"/>
      <c r="D994" s="179"/>
      <c r="E994" s="179"/>
      <c r="F994" s="179"/>
      <c r="G994" s="179"/>
      <c r="H994" s="179"/>
      <c r="I994" s="181"/>
      <c r="J994" s="179"/>
      <c r="K994" s="179"/>
      <c r="L994" s="182"/>
      <c r="M994" s="182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32"/>
      <c r="Z994" s="179"/>
      <c r="AA994" s="179"/>
      <c r="AB994" s="179"/>
      <c r="AC994" s="179"/>
      <c r="AD994" s="132"/>
      <c r="AE994" s="179"/>
      <c r="AF994" s="179"/>
    </row>
    <row r="995" ht="12.75" customHeight="1" spans="1:32" x14ac:dyDescent="0.25">
      <c r="A995" s="179"/>
      <c r="B995" s="179"/>
      <c r="C995" s="179"/>
      <c r="D995" s="179"/>
      <c r="E995" s="179"/>
      <c r="F995" s="179"/>
      <c r="G995" s="179"/>
      <c r="H995" s="179"/>
      <c r="I995" s="181"/>
      <c r="J995" s="179"/>
      <c r="K995" s="179"/>
      <c r="L995" s="182"/>
      <c r="M995" s="182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32"/>
      <c r="Z995" s="179"/>
      <c r="AA995" s="179"/>
      <c r="AB995" s="179"/>
      <c r="AC995" s="179"/>
      <c r="AD995" s="132"/>
      <c r="AE995" s="179"/>
      <c r="AF995" s="179"/>
    </row>
    <row r="996" ht="12.75" customHeight="1" spans="1:32" x14ac:dyDescent="0.25">
      <c r="A996" s="179"/>
      <c r="B996" s="179"/>
      <c r="C996" s="179"/>
      <c r="D996" s="179"/>
      <c r="E996" s="179"/>
      <c r="F996" s="179"/>
      <c r="G996" s="179"/>
      <c r="H996" s="179"/>
      <c r="I996" s="181"/>
      <c r="J996" s="179"/>
      <c r="K996" s="179"/>
      <c r="L996" s="182"/>
      <c r="M996" s="182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32"/>
      <c r="Z996" s="179"/>
      <c r="AA996" s="179"/>
      <c r="AB996" s="179"/>
      <c r="AC996" s="179"/>
      <c r="AD996" s="132"/>
      <c r="AE996" s="179"/>
      <c r="AF996" s="179"/>
    </row>
    <row r="997" ht="12.75" customHeight="1" spans="1:32" x14ac:dyDescent="0.25">
      <c r="A997" s="179"/>
      <c r="B997" s="179"/>
      <c r="C997" s="179"/>
      <c r="D997" s="179"/>
      <c r="E997" s="179"/>
      <c r="F997" s="179"/>
      <c r="G997" s="179"/>
      <c r="H997" s="179"/>
      <c r="I997" s="181"/>
      <c r="J997" s="179"/>
      <c r="K997" s="179"/>
      <c r="L997" s="182"/>
      <c r="M997" s="182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32"/>
      <c r="Z997" s="179"/>
      <c r="AA997" s="179"/>
      <c r="AB997" s="179"/>
      <c r="AC997" s="179"/>
      <c r="AD997" s="132"/>
      <c r="AE997" s="179"/>
      <c r="AF997" s="179"/>
    </row>
    <row r="998" ht="12.75" customHeight="1" spans="1:32" x14ac:dyDescent="0.25">
      <c r="A998" s="179"/>
      <c r="B998" s="179"/>
      <c r="C998" s="179"/>
      <c r="D998" s="179"/>
      <c r="E998" s="179"/>
      <c r="F998" s="179"/>
      <c r="G998" s="179"/>
      <c r="H998" s="179"/>
      <c r="I998" s="181"/>
      <c r="J998" s="179"/>
      <c r="K998" s="179"/>
      <c r="L998" s="182"/>
      <c r="M998" s="182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32"/>
      <c r="Z998" s="179"/>
      <c r="AA998" s="179"/>
      <c r="AB998" s="179"/>
      <c r="AC998" s="179"/>
      <c r="AD998" s="132"/>
      <c r="AE998" s="179"/>
      <c r="AF998" s="179"/>
    </row>
    <row r="999" ht="12.75" customHeight="1" spans="1:32" x14ac:dyDescent="0.25">
      <c r="A999" s="179"/>
      <c r="B999" s="179"/>
      <c r="C999" s="179"/>
      <c r="D999" s="179"/>
      <c r="E999" s="179"/>
      <c r="F999" s="179"/>
      <c r="G999" s="179"/>
      <c r="H999" s="179"/>
      <c r="I999" s="181"/>
      <c r="J999" s="179"/>
      <c r="K999" s="179"/>
      <c r="L999" s="182"/>
      <c r="M999" s="182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32"/>
      <c r="Z999" s="179"/>
      <c r="AA999" s="179"/>
      <c r="AB999" s="179"/>
      <c r="AC999" s="179"/>
      <c r="AD999" s="132"/>
      <c r="AE999" s="179"/>
      <c r="AF999" s="179"/>
    </row>
    <row r="1000" ht="12.75" customHeight="1" spans="1:32" x14ac:dyDescent="0.25">
      <c r="A1000" s="179"/>
      <c r="B1000" s="179"/>
      <c r="C1000" s="179"/>
      <c r="D1000" s="179"/>
      <c r="E1000" s="179"/>
      <c r="F1000" s="179"/>
      <c r="G1000" s="179"/>
      <c r="H1000" s="179"/>
      <c r="I1000" s="181"/>
      <c r="J1000" s="179"/>
      <c r="K1000" s="179"/>
      <c r="L1000" s="182"/>
      <c r="M1000" s="182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32"/>
      <c r="Z1000" s="179"/>
      <c r="AA1000" s="179"/>
      <c r="AB1000" s="179"/>
      <c r="AC1000" s="179"/>
      <c r="AD1000" s="132"/>
      <c r="AE1000" s="179"/>
      <c r="AF1000" s="179"/>
    </row>
    <row r="1001" ht="12.75" customHeight="1" spans="1:32" x14ac:dyDescent="0.25">
      <c r="A1001" s="179"/>
      <c r="B1001" s="179"/>
      <c r="C1001" s="179"/>
      <c r="D1001" s="179"/>
      <c r="E1001" s="179"/>
      <c r="F1001" s="179"/>
      <c r="G1001" s="179"/>
      <c r="H1001" s="179"/>
      <c r="I1001" s="181"/>
      <c r="J1001" s="179"/>
      <c r="K1001" s="179"/>
      <c r="L1001" s="182"/>
      <c r="M1001" s="182"/>
      <c r="N1001" s="179"/>
      <c r="O1001" s="179"/>
      <c r="P1001" s="179"/>
      <c r="Q1001" s="179"/>
      <c r="R1001" s="179"/>
      <c r="S1001" s="179"/>
      <c r="T1001" s="179"/>
      <c r="U1001" s="179"/>
      <c r="V1001" s="179"/>
      <c r="W1001" s="179"/>
      <c r="X1001" s="179"/>
      <c r="Y1001" s="132"/>
      <c r="Z1001" s="179"/>
      <c r="AA1001" s="179"/>
      <c r="AB1001" s="179"/>
      <c r="AC1001" s="179"/>
      <c r="AD1001" s="132"/>
      <c r="AE1001" s="179"/>
      <c r="AF1001" s="179"/>
    </row>
    <row r="1002" ht="12.75" customHeight="1" spans="1:32" x14ac:dyDescent="0.25">
      <c r="A1002" s="179"/>
      <c r="B1002" s="179"/>
      <c r="C1002" s="179"/>
      <c r="D1002" s="179"/>
      <c r="E1002" s="179"/>
      <c r="F1002" s="179"/>
      <c r="G1002" s="179"/>
      <c r="H1002" s="179"/>
      <c r="I1002" s="181"/>
      <c r="J1002" s="179"/>
      <c r="K1002" s="179"/>
      <c r="L1002" s="182"/>
      <c r="M1002" s="182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32"/>
      <c r="Z1002" s="179"/>
      <c r="AA1002" s="179"/>
      <c r="AB1002" s="179"/>
      <c r="AC1002" s="179"/>
      <c r="AD1002" s="132"/>
      <c r="AE1002" s="179"/>
      <c r="AF1002" s="179"/>
    </row>
    <row r="1003" ht="12.75" customHeight="1" spans="1:32" x14ac:dyDescent="0.25">
      <c r="A1003" s="179"/>
      <c r="B1003" s="179"/>
      <c r="C1003" s="179"/>
      <c r="D1003" s="179"/>
      <c r="E1003" s="179"/>
      <c r="F1003" s="179"/>
      <c r="G1003" s="179"/>
      <c r="H1003" s="179"/>
      <c r="I1003" s="181"/>
      <c r="J1003" s="179"/>
      <c r="K1003" s="179"/>
      <c r="L1003" s="182"/>
      <c r="M1003" s="182"/>
      <c r="N1003" s="179"/>
      <c r="O1003" s="179"/>
      <c r="P1003" s="179"/>
      <c r="Q1003" s="179"/>
      <c r="R1003" s="179"/>
      <c r="S1003" s="179"/>
      <c r="T1003" s="179"/>
      <c r="U1003" s="179"/>
      <c r="V1003" s="179"/>
      <c r="W1003" s="179"/>
      <c r="X1003" s="179"/>
      <c r="Y1003" s="132"/>
      <c r="Z1003" s="179"/>
      <c r="AA1003" s="179"/>
      <c r="AB1003" s="179"/>
      <c r="AC1003" s="179"/>
      <c r="AD1003" s="132"/>
      <c r="AE1003" s="179"/>
      <c r="AF1003" s="179"/>
    </row>
    <row r="1004" ht="12.75" customHeight="1" spans="1:32" x14ac:dyDescent="0.25">
      <c r="A1004" s="179"/>
      <c r="B1004" s="179"/>
      <c r="C1004" s="179"/>
      <c r="D1004" s="179"/>
      <c r="E1004" s="179"/>
      <c r="F1004" s="179"/>
      <c r="G1004" s="179"/>
      <c r="H1004" s="179"/>
      <c r="I1004" s="181"/>
      <c r="J1004" s="179"/>
      <c r="K1004" s="179"/>
      <c r="L1004" s="182"/>
      <c r="M1004" s="182"/>
      <c r="N1004" s="179"/>
      <c r="O1004" s="179"/>
      <c r="P1004" s="179"/>
      <c r="Q1004" s="179"/>
      <c r="R1004" s="179"/>
      <c r="S1004" s="179"/>
      <c r="T1004" s="179"/>
      <c r="U1004" s="179"/>
      <c r="V1004" s="179"/>
      <c r="W1004" s="179"/>
      <c r="X1004" s="179"/>
      <c r="Y1004" s="132"/>
      <c r="Z1004" s="179"/>
      <c r="AA1004" s="179"/>
      <c r="AB1004" s="179"/>
      <c r="AC1004" s="179"/>
      <c r="AD1004" s="132"/>
      <c r="AE1004" s="179"/>
      <c r="AF1004" s="179"/>
    </row>
    <row r="1005" ht="12.75" customHeight="1" spans="1:32" x14ac:dyDescent="0.25">
      <c r="A1005" s="179"/>
      <c r="B1005" s="179"/>
      <c r="C1005" s="179"/>
      <c r="D1005" s="179"/>
      <c r="E1005" s="179"/>
      <c r="F1005" s="179"/>
      <c r="G1005" s="179"/>
      <c r="H1005" s="179"/>
      <c r="I1005" s="181"/>
      <c r="J1005" s="179"/>
      <c r="K1005" s="179"/>
      <c r="L1005" s="182"/>
      <c r="M1005" s="182"/>
      <c r="N1005" s="179"/>
      <c r="O1005" s="179"/>
      <c r="P1005" s="179"/>
      <c r="Q1005" s="179"/>
      <c r="R1005" s="179"/>
      <c r="S1005" s="179"/>
      <c r="T1005" s="179"/>
      <c r="U1005" s="179"/>
      <c r="V1005" s="179"/>
      <c r="W1005" s="179"/>
      <c r="X1005" s="179"/>
      <c r="Y1005" s="132"/>
      <c r="Z1005" s="179"/>
      <c r="AA1005" s="179"/>
      <c r="AB1005" s="179"/>
      <c r="AC1005" s="179"/>
      <c r="AD1005" s="132"/>
      <c r="AE1005" s="179"/>
      <c r="AF1005" s="179"/>
    </row>
    <row r="1006" ht="12.75" customHeight="1" spans="1:32" x14ac:dyDescent="0.25">
      <c r="A1006" s="179"/>
      <c r="B1006" s="179"/>
      <c r="C1006" s="179"/>
      <c r="D1006" s="179"/>
      <c r="E1006" s="179"/>
      <c r="F1006" s="179"/>
      <c r="G1006" s="179"/>
      <c r="H1006" s="179"/>
      <c r="I1006" s="181"/>
      <c r="J1006" s="179"/>
      <c r="K1006" s="179"/>
      <c r="L1006" s="182"/>
      <c r="M1006" s="182"/>
      <c r="N1006" s="179"/>
      <c r="O1006" s="179"/>
      <c r="P1006" s="179"/>
      <c r="Q1006" s="179"/>
      <c r="R1006" s="179"/>
      <c r="S1006" s="179"/>
      <c r="T1006" s="179"/>
      <c r="U1006" s="179"/>
      <c r="V1006" s="179"/>
      <c r="W1006" s="179"/>
      <c r="X1006" s="179"/>
      <c r="Y1006" s="132"/>
      <c r="Z1006" s="179"/>
      <c r="AA1006" s="179"/>
      <c r="AB1006" s="179"/>
      <c r="AC1006" s="179"/>
      <c r="AD1006" s="132"/>
      <c r="AE1006" s="179"/>
      <c r="AF1006" s="179"/>
    </row>
    <row r="1007" ht="12.75" customHeight="1" spans="1:32" x14ac:dyDescent="0.25">
      <c r="A1007" s="179"/>
      <c r="B1007" s="179"/>
      <c r="C1007" s="179"/>
      <c r="D1007" s="179"/>
      <c r="E1007" s="179"/>
      <c r="F1007" s="179"/>
      <c r="G1007" s="179"/>
      <c r="H1007" s="179"/>
      <c r="I1007" s="181"/>
      <c r="J1007" s="179"/>
      <c r="K1007" s="179"/>
      <c r="L1007" s="182"/>
      <c r="M1007" s="182"/>
      <c r="N1007" s="179"/>
      <c r="O1007" s="179"/>
      <c r="P1007" s="179"/>
      <c r="Q1007" s="179"/>
      <c r="R1007" s="179"/>
      <c r="S1007" s="179"/>
      <c r="T1007" s="179"/>
      <c r="U1007" s="179"/>
      <c r="V1007" s="179"/>
      <c r="W1007" s="179"/>
      <c r="X1007" s="179"/>
      <c r="Y1007" s="132"/>
      <c r="Z1007" s="179"/>
      <c r="AA1007" s="179"/>
      <c r="AB1007" s="179"/>
      <c r="AC1007" s="179"/>
      <c r="AD1007" s="132"/>
      <c r="AE1007" s="179"/>
      <c r="AF1007" s="179"/>
    </row>
    <row r="1008" ht="12.75" customHeight="1" spans="1:32" x14ac:dyDescent="0.25">
      <c r="A1008" s="179"/>
      <c r="B1008" s="179"/>
      <c r="C1008" s="179"/>
      <c r="D1008" s="179"/>
      <c r="E1008" s="179"/>
      <c r="F1008" s="179"/>
      <c r="G1008" s="179"/>
      <c r="H1008" s="179"/>
      <c r="I1008" s="181"/>
      <c r="J1008" s="179"/>
      <c r="K1008" s="179"/>
      <c r="L1008" s="182"/>
      <c r="M1008" s="182"/>
      <c r="N1008" s="179"/>
      <c r="O1008" s="179"/>
      <c r="P1008" s="179"/>
      <c r="Q1008" s="179"/>
      <c r="R1008" s="179"/>
      <c r="S1008" s="179"/>
      <c r="T1008" s="179"/>
      <c r="U1008" s="179"/>
      <c r="V1008" s="179"/>
      <c r="W1008" s="179"/>
      <c r="X1008" s="179"/>
      <c r="Y1008" s="132"/>
      <c r="Z1008" s="179"/>
      <c r="AA1008" s="179"/>
      <c r="AB1008" s="179"/>
      <c r="AC1008" s="179"/>
      <c r="AD1008" s="132"/>
      <c r="AE1008" s="179"/>
      <c r="AF1008" s="179"/>
    </row>
    <row r="1009" ht="12.75" customHeight="1" spans="1:32" x14ac:dyDescent="0.25">
      <c r="A1009" s="179"/>
      <c r="B1009" s="179"/>
      <c r="C1009" s="179"/>
      <c r="D1009" s="179"/>
      <c r="E1009" s="179"/>
      <c r="F1009" s="179"/>
      <c r="G1009" s="179"/>
      <c r="H1009" s="179"/>
      <c r="I1009" s="181"/>
      <c r="J1009" s="179"/>
      <c r="K1009" s="179"/>
      <c r="L1009" s="182"/>
      <c r="M1009" s="182"/>
      <c r="N1009" s="179"/>
      <c r="O1009" s="179"/>
      <c r="P1009" s="179"/>
      <c r="Q1009" s="179"/>
      <c r="R1009" s="179"/>
      <c r="S1009" s="179"/>
      <c r="T1009" s="179"/>
      <c r="U1009" s="179"/>
      <c r="V1009" s="179"/>
      <c r="W1009" s="179"/>
      <c r="X1009" s="179"/>
      <c r="Y1009" s="132"/>
      <c r="Z1009" s="179"/>
      <c r="AA1009" s="179"/>
      <c r="AB1009" s="179"/>
      <c r="AC1009" s="179"/>
      <c r="AD1009" s="132"/>
      <c r="AE1009" s="179"/>
      <c r="AF1009" s="179"/>
    </row>
    <row r="1010" ht="12.75" customHeight="1" spans="1:32" x14ac:dyDescent="0.25">
      <c r="A1010" s="179"/>
      <c r="B1010" s="179"/>
      <c r="C1010" s="179"/>
      <c r="D1010" s="179"/>
      <c r="E1010" s="179"/>
      <c r="F1010" s="179"/>
      <c r="G1010" s="179"/>
      <c r="H1010" s="179"/>
      <c r="I1010" s="181"/>
      <c r="J1010" s="179"/>
      <c r="K1010" s="179"/>
      <c r="L1010" s="182"/>
      <c r="M1010" s="182"/>
      <c r="N1010" s="179"/>
      <c r="O1010" s="179"/>
      <c r="P1010" s="179"/>
      <c r="Q1010" s="179"/>
      <c r="R1010" s="179"/>
      <c r="S1010" s="179"/>
      <c r="T1010" s="179"/>
      <c r="U1010" s="179"/>
      <c r="V1010" s="179"/>
      <c r="W1010" s="179"/>
      <c r="X1010" s="179"/>
      <c r="Y1010" s="132"/>
      <c r="Z1010" s="179"/>
      <c r="AA1010" s="179"/>
      <c r="AB1010" s="179"/>
      <c r="AC1010" s="179"/>
      <c r="AD1010" s="132"/>
      <c r="AE1010" s="179"/>
      <c r="AF1010" s="179"/>
    </row>
    <row r="1011" ht="12.75" customHeight="1" spans="1:32" x14ac:dyDescent="0.25">
      <c r="A1011" s="179"/>
      <c r="B1011" s="179"/>
      <c r="C1011" s="179"/>
      <c r="D1011" s="179"/>
      <c r="E1011" s="179"/>
      <c r="F1011" s="179"/>
      <c r="G1011" s="179"/>
      <c r="H1011" s="179"/>
      <c r="I1011" s="181"/>
      <c r="J1011" s="179"/>
      <c r="K1011" s="179"/>
      <c r="L1011" s="182"/>
      <c r="M1011" s="182"/>
      <c r="N1011" s="179"/>
      <c r="O1011" s="179"/>
      <c r="P1011" s="179"/>
      <c r="Q1011" s="179"/>
      <c r="R1011" s="179"/>
      <c r="S1011" s="179"/>
      <c r="T1011" s="179"/>
      <c r="U1011" s="179"/>
      <c r="V1011" s="179"/>
      <c r="W1011" s="179"/>
      <c r="X1011" s="179"/>
      <c r="Y1011" s="132"/>
      <c r="Z1011" s="179"/>
      <c r="AA1011" s="179"/>
      <c r="AB1011" s="179"/>
      <c r="AC1011" s="179"/>
      <c r="AD1011" s="132"/>
      <c r="AE1011" s="179"/>
      <c r="AF1011" s="179"/>
    </row>
    <row r="1012" ht="12.75" customHeight="1" spans="1:32" x14ac:dyDescent="0.25">
      <c r="A1012" s="179"/>
      <c r="B1012" s="179"/>
      <c r="C1012" s="179"/>
      <c r="D1012" s="179"/>
      <c r="E1012" s="179"/>
      <c r="F1012" s="179"/>
      <c r="G1012" s="179"/>
      <c r="H1012" s="179"/>
      <c r="I1012" s="181"/>
      <c r="J1012" s="179"/>
      <c r="K1012" s="179"/>
      <c r="L1012" s="182"/>
      <c r="M1012" s="182"/>
      <c r="N1012" s="179"/>
      <c r="O1012" s="179"/>
      <c r="P1012" s="179"/>
      <c r="Q1012" s="179"/>
      <c r="R1012" s="179"/>
      <c r="S1012" s="179"/>
      <c r="T1012" s="179"/>
      <c r="U1012" s="179"/>
      <c r="V1012" s="179"/>
      <c r="W1012" s="179"/>
      <c r="X1012" s="179"/>
      <c r="Y1012" s="132"/>
      <c r="Z1012" s="179"/>
      <c r="AA1012" s="179"/>
      <c r="AB1012" s="179"/>
      <c r="AC1012" s="179"/>
      <c r="AD1012" s="132"/>
      <c r="AE1012" s="179"/>
      <c r="AF1012" s="179"/>
    </row>
    <row r="1013" ht="12.75" customHeight="1" spans="1:32" x14ac:dyDescent="0.25">
      <c r="A1013" s="179"/>
      <c r="B1013" s="179"/>
      <c r="C1013" s="179"/>
      <c r="D1013" s="179"/>
      <c r="E1013" s="179"/>
      <c r="F1013" s="179"/>
      <c r="G1013" s="179"/>
      <c r="H1013" s="179"/>
      <c r="I1013" s="181"/>
      <c r="J1013" s="179"/>
      <c r="K1013" s="179"/>
      <c r="L1013" s="182"/>
      <c r="M1013" s="182"/>
      <c r="N1013" s="179"/>
      <c r="O1013" s="179"/>
      <c r="P1013" s="179"/>
      <c r="Q1013" s="179"/>
      <c r="R1013" s="179"/>
      <c r="S1013" s="179"/>
      <c r="T1013" s="179"/>
      <c r="U1013" s="179"/>
      <c r="V1013" s="179"/>
      <c r="W1013" s="179"/>
      <c r="X1013" s="179"/>
      <c r="Y1013" s="132"/>
      <c r="Z1013" s="179"/>
      <c r="AA1013" s="179"/>
      <c r="AB1013" s="179"/>
      <c r="AC1013" s="179"/>
      <c r="AD1013" s="132"/>
      <c r="AE1013" s="179"/>
      <c r="AF1013" s="179"/>
    </row>
    <row r="1014" ht="12.75" customHeight="1" spans="1:32" x14ac:dyDescent="0.25">
      <c r="A1014" s="179"/>
      <c r="B1014" s="179"/>
      <c r="C1014" s="179"/>
      <c r="D1014" s="179"/>
      <c r="E1014" s="179"/>
      <c r="F1014" s="179"/>
      <c r="G1014" s="179"/>
      <c r="H1014" s="179"/>
      <c r="I1014" s="181"/>
      <c r="J1014" s="179"/>
      <c r="K1014" s="179"/>
      <c r="L1014" s="182"/>
      <c r="M1014" s="182"/>
      <c r="N1014" s="179"/>
      <c r="O1014" s="179"/>
      <c r="P1014" s="179"/>
      <c r="Q1014" s="179"/>
      <c r="R1014" s="179"/>
      <c r="S1014" s="179"/>
      <c r="T1014" s="179"/>
      <c r="U1014" s="179"/>
      <c r="V1014" s="179"/>
      <c r="W1014" s="179"/>
      <c r="X1014" s="179"/>
      <c r="Y1014" s="132"/>
      <c r="Z1014" s="179"/>
      <c r="AA1014" s="179"/>
      <c r="AB1014" s="179"/>
      <c r="AC1014" s="179"/>
      <c r="AD1014" s="132"/>
      <c r="AE1014" s="179"/>
      <c r="AF1014" s="179"/>
    </row>
    <row r="1015" ht="12.75" customHeight="1" spans="1:32" x14ac:dyDescent="0.25">
      <c r="A1015" s="179"/>
      <c r="B1015" s="179"/>
      <c r="C1015" s="179"/>
      <c r="D1015" s="179"/>
      <c r="E1015" s="179"/>
      <c r="F1015" s="179"/>
      <c r="G1015" s="179"/>
      <c r="H1015" s="179"/>
      <c r="I1015" s="181"/>
      <c r="J1015" s="179"/>
      <c r="K1015" s="179"/>
      <c r="L1015" s="182"/>
      <c r="M1015" s="182"/>
      <c r="N1015" s="179"/>
      <c r="O1015" s="179"/>
      <c r="P1015" s="179"/>
      <c r="Q1015" s="179"/>
      <c r="R1015" s="179"/>
      <c r="S1015" s="179"/>
      <c r="T1015" s="179"/>
      <c r="U1015" s="179"/>
      <c r="V1015" s="179"/>
      <c r="W1015" s="179"/>
      <c r="X1015" s="179"/>
      <c r="Y1015" s="132"/>
      <c r="Z1015" s="179"/>
      <c r="AA1015" s="179"/>
      <c r="AB1015" s="179"/>
      <c r="AC1015" s="179"/>
      <c r="AD1015" s="132"/>
      <c r="AE1015" s="179"/>
      <c r="AF1015" s="179"/>
    </row>
    <row r="1016" ht="12.75" customHeight="1" spans="1:32" x14ac:dyDescent="0.25">
      <c r="A1016" s="179"/>
      <c r="B1016" s="179"/>
      <c r="C1016" s="179"/>
      <c r="D1016" s="179"/>
      <c r="E1016" s="179"/>
      <c r="F1016" s="179"/>
      <c r="G1016" s="179"/>
      <c r="H1016" s="179"/>
      <c r="I1016" s="181"/>
      <c r="J1016" s="179"/>
      <c r="K1016" s="179"/>
      <c r="L1016" s="182"/>
      <c r="M1016" s="182"/>
      <c r="N1016" s="179"/>
      <c r="O1016" s="179"/>
      <c r="P1016" s="179"/>
      <c r="Q1016" s="179"/>
      <c r="R1016" s="179"/>
      <c r="S1016" s="179"/>
      <c r="T1016" s="179"/>
      <c r="U1016" s="179"/>
      <c r="V1016" s="179"/>
      <c r="W1016" s="179"/>
      <c r="X1016" s="179"/>
      <c r="Y1016" s="132"/>
      <c r="Z1016" s="179"/>
      <c r="AA1016" s="179"/>
      <c r="AB1016" s="179"/>
      <c r="AC1016" s="179"/>
      <c r="AD1016" s="132"/>
      <c r="AE1016" s="179"/>
      <c r="AF1016" s="179"/>
    </row>
    <row r="1017" ht="12.75" customHeight="1" spans="1:32" x14ac:dyDescent="0.25">
      <c r="A1017" s="179"/>
      <c r="B1017" s="179"/>
      <c r="C1017" s="179"/>
      <c r="D1017" s="179"/>
      <c r="E1017" s="179"/>
      <c r="F1017" s="179"/>
      <c r="G1017" s="179"/>
      <c r="H1017" s="179"/>
      <c r="I1017" s="181"/>
      <c r="J1017" s="179"/>
      <c r="K1017" s="179"/>
      <c r="L1017" s="182"/>
      <c r="M1017" s="182"/>
      <c r="N1017" s="179"/>
      <c r="O1017" s="179"/>
      <c r="P1017" s="179"/>
      <c r="Q1017" s="179"/>
      <c r="R1017" s="179"/>
      <c r="S1017" s="179"/>
      <c r="T1017" s="179"/>
      <c r="U1017" s="179"/>
      <c r="V1017" s="179"/>
      <c r="W1017" s="179"/>
      <c r="X1017" s="179"/>
      <c r="Y1017" s="132"/>
      <c r="Z1017" s="179"/>
      <c r="AA1017" s="179"/>
      <c r="AB1017" s="179"/>
      <c r="AC1017" s="179"/>
      <c r="AD1017" s="132"/>
      <c r="AE1017" s="179"/>
      <c r="AF1017" s="179"/>
    </row>
    <row r="1018" ht="12.75" customHeight="1" spans="1:32" x14ac:dyDescent="0.25">
      <c r="A1018" s="179"/>
      <c r="B1018" s="179"/>
      <c r="C1018" s="179"/>
      <c r="D1018" s="179"/>
      <c r="E1018" s="179"/>
      <c r="F1018" s="179"/>
      <c r="G1018" s="179"/>
      <c r="H1018" s="179"/>
      <c r="I1018" s="181"/>
      <c r="J1018" s="179"/>
      <c r="K1018" s="179"/>
      <c r="L1018" s="182"/>
      <c r="M1018" s="182"/>
      <c r="N1018" s="179"/>
      <c r="O1018" s="179"/>
      <c r="P1018" s="179"/>
      <c r="Q1018" s="179"/>
      <c r="R1018" s="179"/>
      <c r="S1018" s="179"/>
      <c r="T1018" s="179"/>
      <c r="U1018" s="179"/>
      <c r="V1018" s="179"/>
      <c r="W1018" s="179"/>
      <c r="X1018" s="179"/>
      <c r="Y1018" s="132"/>
      <c r="Z1018" s="179"/>
      <c r="AA1018" s="179"/>
      <c r="AB1018" s="179"/>
      <c r="AC1018" s="179"/>
      <c r="AD1018" s="132"/>
      <c r="AE1018" s="179"/>
      <c r="AF1018" s="179"/>
    </row>
    <row r="1019" ht="12.75" customHeight="1" spans="1:32" x14ac:dyDescent="0.25">
      <c r="A1019" s="179"/>
      <c r="B1019" s="179"/>
      <c r="C1019" s="179"/>
      <c r="D1019" s="179"/>
      <c r="E1019" s="179"/>
      <c r="F1019" s="179"/>
      <c r="G1019" s="179"/>
      <c r="H1019" s="179"/>
      <c r="I1019" s="181"/>
      <c r="J1019" s="179"/>
      <c r="K1019" s="179"/>
      <c r="L1019" s="182"/>
      <c r="M1019" s="182"/>
      <c r="N1019" s="179"/>
      <c r="O1019" s="179"/>
      <c r="P1019" s="179"/>
      <c r="Q1019" s="179"/>
      <c r="R1019" s="179"/>
      <c r="S1019" s="179"/>
      <c r="T1019" s="179"/>
      <c r="U1019" s="179"/>
      <c r="V1019" s="179"/>
      <c r="W1019" s="179"/>
      <c r="X1019" s="179"/>
      <c r="Y1019" s="132"/>
      <c r="Z1019" s="179"/>
      <c r="AA1019" s="179"/>
      <c r="AB1019" s="179"/>
      <c r="AC1019" s="179"/>
      <c r="AD1019" s="132"/>
      <c r="AE1019" s="179"/>
      <c r="AF1019" s="179"/>
    </row>
    <row r="1020" ht="12.75" customHeight="1" spans="1:32" x14ac:dyDescent="0.25">
      <c r="A1020" s="179"/>
      <c r="B1020" s="179"/>
      <c r="C1020" s="179"/>
      <c r="D1020" s="179"/>
      <c r="E1020" s="179"/>
      <c r="F1020" s="179"/>
      <c r="G1020" s="179"/>
      <c r="H1020" s="179"/>
      <c r="I1020" s="181"/>
      <c r="J1020" s="179"/>
      <c r="K1020" s="179"/>
      <c r="L1020" s="182"/>
      <c r="M1020" s="182"/>
      <c r="N1020" s="179"/>
      <c r="O1020" s="179"/>
      <c r="P1020" s="179"/>
      <c r="Q1020" s="179"/>
      <c r="R1020" s="179"/>
      <c r="S1020" s="179"/>
      <c r="T1020" s="179"/>
      <c r="U1020" s="179"/>
      <c r="V1020" s="179"/>
      <c r="W1020" s="179"/>
      <c r="X1020" s="179"/>
      <c r="Y1020" s="132"/>
      <c r="Z1020" s="179"/>
      <c r="AA1020" s="179"/>
      <c r="AB1020" s="179"/>
      <c r="AC1020" s="179"/>
      <c r="AD1020" s="132"/>
      <c r="AE1020" s="179"/>
      <c r="AF1020" s="179"/>
    </row>
    <row r="1021" ht="12.75" customHeight="1" spans="1:32" x14ac:dyDescent="0.25">
      <c r="A1021" s="179"/>
      <c r="B1021" s="179"/>
      <c r="C1021" s="179"/>
      <c r="D1021" s="179"/>
      <c r="E1021" s="179"/>
      <c r="F1021" s="179"/>
      <c r="G1021" s="179"/>
      <c r="H1021" s="179"/>
      <c r="I1021" s="181"/>
      <c r="J1021" s="179"/>
      <c r="K1021" s="179"/>
      <c r="L1021" s="182"/>
      <c r="M1021" s="182"/>
      <c r="N1021" s="179"/>
      <c r="O1021" s="179"/>
      <c r="P1021" s="179"/>
      <c r="Q1021" s="179"/>
      <c r="R1021" s="179"/>
      <c r="S1021" s="179"/>
      <c r="T1021" s="179"/>
      <c r="U1021" s="179"/>
      <c r="V1021" s="179"/>
      <c r="W1021" s="179"/>
      <c r="X1021" s="179"/>
      <c r="Y1021" s="132"/>
      <c r="Z1021" s="179"/>
      <c r="AA1021" s="179"/>
      <c r="AB1021" s="179"/>
      <c r="AC1021" s="179"/>
      <c r="AD1021" s="132"/>
      <c r="AE1021" s="179"/>
      <c r="AF1021" s="179"/>
    </row>
    <row r="1022" ht="12.75" customHeight="1" spans="1:32" x14ac:dyDescent="0.25">
      <c r="A1022" s="179"/>
      <c r="B1022" s="179"/>
      <c r="C1022" s="179"/>
      <c r="D1022" s="179"/>
      <c r="E1022" s="179"/>
      <c r="F1022" s="179"/>
      <c r="G1022" s="179"/>
      <c r="H1022" s="179"/>
      <c r="I1022" s="181"/>
      <c r="J1022" s="179"/>
      <c r="K1022" s="179"/>
      <c r="L1022" s="182"/>
      <c r="M1022" s="182"/>
      <c r="N1022" s="179"/>
      <c r="O1022" s="179"/>
      <c r="P1022" s="179"/>
      <c r="Q1022" s="179"/>
      <c r="R1022" s="179"/>
      <c r="S1022" s="179"/>
      <c r="T1022" s="179"/>
      <c r="U1022" s="179"/>
      <c r="V1022" s="179"/>
      <c r="W1022" s="179"/>
      <c r="X1022" s="179"/>
      <c r="Y1022" s="132"/>
      <c r="Z1022" s="179"/>
      <c r="AA1022" s="179"/>
      <c r="AB1022" s="179"/>
      <c r="AC1022" s="179"/>
      <c r="AD1022" s="132"/>
      <c r="AE1022" s="179"/>
      <c r="AF1022" s="179"/>
    </row>
    <row r="1023" ht="12.75" customHeight="1" spans="1:32" x14ac:dyDescent="0.25">
      <c r="A1023" s="179"/>
      <c r="B1023" s="179"/>
      <c r="C1023" s="179"/>
      <c r="D1023" s="179"/>
      <c r="E1023" s="179"/>
      <c r="F1023" s="179"/>
      <c r="G1023" s="179"/>
      <c r="H1023" s="179"/>
      <c r="I1023" s="181"/>
      <c r="J1023" s="179"/>
      <c r="K1023" s="179"/>
      <c r="L1023" s="182"/>
      <c r="M1023" s="182"/>
      <c r="N1023" s="179"/>
      <c r="O1023" s="179"/>
      <c r="P1023" s="179"/>
      <c r="Q1023" s="179"/>
      <c r="R1023" s="179"/>
      <c r="S1023" s="179"/>
      <c r="T1023" s="179"/>
      <c r="U1023" s="179"/>
      <c r="V1023" s="179"/>
      <c r="W1023" s="179"/>
      <c r="X1023" s="179"/>
      <c r="Y1023" s="132"/>
      <c r="Z1023" s="179"/>
      <c r="AA1023" s="179"/>
      <c r="AB1023" s="179"/>
      <c r="AC1023" s="179"/>
      <c r="AD1023" s="132"/>
      <c r="AE1023" s="179"/>
      <c r="AF1023" s="179"/>
    </row>
    <row r="1024" ht="12.75" customHeight="1" spans="1:32" x14ac:dyDescent="0.25">
      <c r="A1024" s="179"/>
      <c r="B1024" s="179"/>
      <c r="C1024" s="179"/>
      <c r="D1024" s="179"/>
      <c r="E1024" s="179"/>
      <c r="F1024" s="179"/>
      <c r="G1024" s="179"/>
      <c r="H1024" s="179"/>
      <c r="I1024" s="181"/>
      <c r="J1024" s="179"/>
      <c r="K1024" s="179"/>
      <c r="L1024" s="182"/>
      <c r="M1024" s="182"/>
      <c r="N1024" s="179"/>
      <c r="O1024" s="179"/>
      <c r="P1024" s="179"/>
      <c r="Q1024" s="179"/>
      <c r="R1024" s="179"/>
      <c r="S1024" s="179"/>
      <c r="T1024" s="179"/>
      <c r="U1024" s="179"/>
      <c r="V1024" s="179"/>
      <c r="W1024" s="179"/>
      <c r="X1024" s="179"/>
      <c r="Y1024" s="132"/>
      <c r="Z1024" s="179"/>
      <c r="AA1024" s="179"/>
      <c r="AB1024" s="179"/>
      <c r="AC1024" s="179"/>
      <c r="AD1024" s="132"/>
      <c r="AE1024" s="179"/>
      <c r="AF1024" s="179"/>
    </row>
    <row r="1025" ht="12.75" customHeight="1" spans="1:32" x14ac:dyDescent="0.25">
      <c r="A1025" s="179"/>
      <c r="B1025" s="179"/>
      <c r="C1025" s="179"/>
      <c r="D1025" s="179"/>
      <c r="E1025" s="179"/>
      <c r="F1025" s="179"/>
      <c r="G1025" s="179"/>
      <c r="H1025" s="179"/>
      <c r="I1025" s="181"/>
      <c r="J1025" s="179"/>
      <c r="K1025" s="179"/>
      <c r="L1025" s="182"/>
      <c r="M1025" s="182"/>
      <c r="N1025" s="179"/>
      <c r="O1025" s="179"/>
      <c r="P1025" s="179"/>
      <c r="Q1025" s="179"/>
      <c r="R1025" s="179"/>
      <c r="S1025" s="179"/>
      <c r="T1025" s="179"/>
      <c r="U1025" s="179"/>
      <c r="V1025" s="179"/>
      <c r="W1025" s="179"/>
      <c r="X1025" s="179"/>
      <c r="Y1025" s="132"/>
      <c r="Z1025" s="179"/>
      <c r="AA1025" s="179"/>
      <c r="AB1025" s="179"/>
      <c r="AC1025" s="179"/>
      <c r="AD1025" s="132"/>
      <c r="AE1025" s="179"/>
      <c r="AF1025" s="179"/>
    </row>
    <row r="1026" ht="12.75" customHeight="1" spans="1:32" x14ac:dyDescent="0.25">
      <c r="A1026" s="179"/>
      <c r="B1026" s="179"/>
      <c r="C1026" s="179"/>
      <c r="D1026" s="179"/>
      <c r="E1026" s="179"/>
      <c r="F1026" s="179"/>
      <c r="G1026" s="179"/>
      <c r="H1026" s="179"/>
      <c r="I1026" s="181"/>
      <c r="J1026" s="179"/>
      <c r="K1026" s="179"/>
      <c r="L1026" s="182"/>
      <c r="M1026" s="182"/>
      <c r="N1026" s="179"/>
      <c r="O1026" s="179"/>
      <c r="P1026" s="179"/>
      <c r="Q1026" s="179"/>
      <c r="R1026" s="179"/>
      <c r="S1026" s="179"/>
      <c r="T1026" s="179"/>
      <c r="U1026" s="179"/>
      <c r="V1026" s="179"/>
      <c r="W1026" s="179"/>
      <c r="X1026" s="179"/>
      <c r="Y1026" s="132"/>
      <c r="Z1026" s="179"/>
      <c r="AA1026" s="179"/>
      <c r="AB1026" s="179"/>
      <c r="AC1026" s="179"/>
      <c r="AD1026" s="132"/>
      <c r="AE1026" s="179"/>
      <c r="AF1026" s="179"/>
    </row>
    <row r="1027" ht="12.75" customHeight="1" spans="1:32" x14ac:dyDescent="0.25">
      <c r="A1027" s="179"/>
      <c r="B1027" s="179"/>
      <c r="C1027" s="179"/>
      <c r="D1027" s="179"/>
      <c r="E1027" s="179"/>
      <c r="F1027" s="179"/>
      <c r="G1027" s="179"/>
      <c r="H1027" s="179"/>
      <c r="I1027" s="181"/>
      <c r="J1027" s="179"/>
      <c r="K1027" s="179"/>
      <c r="L1027" s="182"/>
      <c r="M1027" s="182"/>
      <c r="N1027" s="179"/>
      <c r="O1027" s="179"/>
      <c r="P1027" s="179"/>
      <c r="Q1027" s="179"/>
      <c r="R1027" s="179"/>
      <c r="S1027" s="179"/>
      <c r="T1027" s="179"/>
      <c r="U1027" s="179"/>
      <c r="V1027" s="179"/>
      <c r="W1027" s="179"/>
      <c r="X1027" s="179"/>
      <c r="Y1027" s="132"/>
      <c r="Z1027" s="179"/>
      <c r="AA1027" s="179"/>
      <c r="AB1027" s="179"/>
      <c r="AC1027" s="179"/>
      <c r="AD1027" s="132"/>
      <c r="AE1027" s="179"/>
      <c r="AF1027" s="179"/>
    </row>
    <row r="1028" ht="12.75" customHeight="1" spans="1:32" x14ac:dyDescent="0.25">
      <c r="A1028" s="179"/>
      <c r="B1028" s="179"/>
      <c r="C1028" s="179"/>
      <c r="D1028" s="179"/>
      <c r="E1028" s="179"/>
      <c r="F1028" s="179"/>
      <c r="G1028" s="179"/>
      <c r="H1028" s="179"/>
      <c r="I1028" s="181"/>
      <c r="J1028" s="179"/>
      <c r="K1028" s="179"/>
      <c r="L1028" s="182"/>
      <c r="M1028" s="182"/>
      <c r="N1028" s="179"/>
      <c r="O1028" s="179"/>
      <c r="P1028" s="179"/>
      <c r="Q1028" s="179"/>
      <c r="R1028" s="179"/>
      <c r="S1028" s="179"/>
      <c r="T1028" s="179"/>
      <c r="U1028" s="179"/>
      <c r="V1028" s="179"/>
      <c r="W1028" s="179"/>
      <c r="X1028" s="179"/>
      <c r="Y1028" s="132"/>
      <c r="Z1028" s="179"/>
      <c r="AA1028" s="179"/>
      <c r="AB1028" s="179"/>
      <c r="AC1028" s="179"/>
      <c r="AD1028" s="132"/>
      <c r="AE1028" s="179"/>
      <c r="AF1028" s="179"/>
    </row>
    <row r="1029" ht="12.75" customHeight="1" spans="1:32" x14ac:dyDescent="0.25">
      <c r="A1029" s="179"/>
      <c r="B1029" s="179"/>
      <c r="C1029" s="179"/>
      <c r="D1029" s="179"/>
      <c r="E1029" s="179"/>
      <c r="F1029" s="179"/>
      <c r="G1029" s="179"/>
      <c r="H1029" s="179"/>
      <c r="I1029" s="181"/>
      <c r="J1029" s="179"/>
      <c r="K1029" s="179"/>
      <c r="L1029" s="182"/>
      <c r="M1029" s="182"/>
      <c r="N1029" s="179"/>
      <c r="O1029" s="179"/>
      <c r="P1029" s="179"/>
      <c r="Q1029" s="179"/>
      <c r="R1029" s="179"/>
      <c r="S1029" s="179"/>
      <c r="T1029" s="179"/>
      <c r="U1029" s="179"/>
      <c r="V1029" s="179"/>
      <c r="W1029" s="179"/>
      <c r="X1029" s="179"/>
      <c r="Y1029" s="132"/>
      <c r="Z1029" s="179"/>
      <c r="AA1029" s="179"/>
      <c r="AB1029" s="179"/>
      <c r="AC1029" s="179"/>
      <c r="AD1029" s="132"/>
      <c r="AE1029" s="179"/>
      <c r="AF1029" s="179"/>
    </row>
    <row r="1030" ht="12.75" customHeight="1" spans="1:32" x14ac:dyDescent="0.25">
      <c r="A1030" s="179"/>
      <c r="B1030" s="179"/>
      <c r="C1030" s="179"/>
      <c r="D1030" s="179"/>
      <c r="E1030" s="179"/>
      <c r="F1030" s="179"/>
      <c r="G1030" s="179"/>
      <c r="H1030" s="179"/>
      <c r="I1030" s="181"/>
      <c r="J1030" s="179"/>
      <c r="K1030" s="179"/>
      <c r="L1030" s="182"/>
      <c r="M1030" s="182"/>
      <c r="N1030" s="179"/>
      <c r="O1030" s="179"/>
      <c r="P1030" s="179"/>
      <c r="Q1030" s="179"/>
      <c r="R1030" s="179"/>
      <c r="S1030" s="179"/>
      <c r="T1030" s="179"/>
      <c r="U1030" s="179"/>
      <c r="V1030" s="179"/>
      <c r="W1030" s="179"/>
      <c r="X1030" s="179"/>
      <c r="Y1030" s="132"/>
      <c r="Z1030" s="179"/>
      <c r="AA1030" s="179"/>
      <c r="AB1030" s="179"/>
      <c r="AC1030" s="179"/>
      <c r="AD1030" s="132"/>
      <c r="AE1030" s="179"/>
      <c r="AF1030" s="179"/>
    </row>
    <row r="1031" ht="12.75" customHeight="1" spans="1:32" x14ac:dyDescent="0.25">
      <c r="A1031" s="179"/>
      <c r="B1031" s="179"/>
      <c r="C1031" s="179"/>
      <c r="D1031" s="179"/>
      <c r="E1031" s="179"/>
      <c r="F1031" s="179"/>
      <c r="G1031" s="179"/>
      <c r="H1031" s="179"/>
      <c r="I1031" s="181"/>
      <c r="J1031" s="179"/>
      <c r="K1031" s="179"/>
      <c r="L1031" s="182"/>
      <c r="M1031" s="182"/>
      <c r="N1031" s="179"/>
      <c r="O1031" s="179"/>
      <c r="P1031" s="179"/>
      <c r="Q1031" s="179"/>
      <c r="R1031" s="179"/>
      <c r="S1031" s="179"/>
      <c r="T1031" s="179"/>
      <c r="U1031" s="179"/>
      <c r="V1031" s="179"/>
      <c r="W1031" s="179"/>
      <c r="X1031" s="179"/>
      <c r="Y1031" s="132"/>
      <c r="Z1031" s="179"/>
      <c r="AA1031" s="179"/>
      <c r="AB1031" s="179"/>
      <c r="AC1031" s="179"/>
      <c r="AD1031" s="132"/>
      <c r="AE1031" s="179"/>
      <c r="AF1031" s="179"/>
    </row>
    <row r="1032" ht="12.75" customHeight="1" spans="1:32" x14ac:dyDescent="0.25">
      <c r="A1032" s="179"/>
      <c r="B1032" s="179"/>
      <c r="C1032" s="179"/>
      <c r="D1032" s="179"/>
      <c r="E1032" s="179"/>
      <c r="F1032" s="179"/>
      <c r="G1032" s="179"/>
      <c r="H1032" s="179"/>
      <c r="I1032" s="181"/>
      <c r="J1032" s="179"/>
      <c r="K1032" s="179"/>
      <c r="L1032" s="182"/>
      <c r="M1032" s="182"/>
      <c r="N1032" s="179"/>
      <c r="O1032" s="179"/>
      <c r="P1032" s="179"/>
      <c r="Q1032" s="179"/>
      <c r="R1032" s="179"/>
      <c r="S1032" s="179"/>
      <c r="T1032" s="179"/>
      <c r="U1032" s="179"/>
      <c r="V1032" s="179"/>
      <c r="W1032" s="179"/>
      <c r="X1032" s="179"/>
      <c r="Y1032" s="132"/>
      <c r="Z1032" s="179"/>
      <c r="AA1032" s="179"/>
      <c r="AB1032" s="179"/>
      <c r="AC1032" s="179"/>
      <c r="AD1032" s="132"/>
      <c r="AE1032" s="179"/>
      <c r="AF1032" s="179"/>
    </row>
    <row r="1033" ht="12.75" customHeight="1" spans="1:32" x14ac:dyDescent="0.25">
      <c r="A1033" s="179"/>
      <c r="B1033" s="179"/>
      <c r="C1033" s="179"/>
      <c r="D1033" s="179"/>
      <c r="E1033" s="179"/>
      <c r="F1033" s="179"/>
      <c r="G1033" s="179"/>
      <c r="H1033" s="179"/>
      <c r="I1033" s="181"/>
      <c r="J1033" s="179"/>
      <c r="K1033" s="179"/>
      <c r="L1033" s="182"/>
      <c r="M1033" s="182"/>
      <c r="N1033" s="179"/>
      <c r="O1033" s="179"/>
      <c r="P1033" s="179"/>
      <c r="Q1033" s="179"/>
      <c r="R1033" s="179"/>
      <c r="S1033" s="179"/>
      <c r="T1033" s="179"/>
      <c r="U1033" s="179"/>
      <c r="V1033" s="179"/>
      <c r="W1033" s="179"/>
      <c r="X1033" s="179"/>
      <c r="Y1033" s="132"/>
      <c r="Z1033" s="179"/>
      <c r="AA1033" s="179"/>
      <c r="AB1033" s="179"/>
      <c r="AC1033" s="179"/>
      <c r="AD1033" s="132"/>
      <c r="AE1033" s="179"/>
      <c r="AF1033" s="179"/>
    </row>
    <row r="1034" ht="12.75" customHeight="1" spans="1:32" x14ac:dyDescent="0.25">
      <c r="A1034" s="179"/>
      <c r="B1034" s="179"/>
      <c r="C1034" s="179"/>
      <c r="D1034" s="179"/>
      <c r="E1034" s="179"/>
      <c r="F1034" s="179"/>
      <c r="G1034" s="179"/>
      <c r="H1034" s="179"/>
      <c r="I1034" s="181"/>
      <c r="J1034" s="179"/>
      <c r="K1034" s="179"/>
      <c r="L1034" s="182"/>
      <c r="M1034" s="182"/>
      <c r="N1034" s="179"/>
      <c r="O1034" s="179"/>
      <c r="P1034" s="179"/>
      <c r="Q1034" s="179"/>
      <c r="R1034" s="179"/>
      <c r="S1034" s="179"/>
      <c r="T1034" s="179"/>
      <c r="U1034" s="179"/>
      <c r="V1034" s="179"/>
      <c r="W1034" s="179"/>
      <c r="X1034" s="179"/>
      <c r="Y1034" s="132"/>
      <c r="Z1034" s="179"/>
      <c r="AA1034" s="179"/>
      <c r="AB1034" s="179"/>
      <c r="AC1034" s="179"/>
      <c r="AD1034" s="132"/>
      <c r="AE1034" s="179"/>
      <c r="AF1034" s="179"/>
    </row>
    <row r="1035" ht="12.75" customHeight="1" spans="1:32" x14ac:dyDescent="0.25">
      <c r="A1035" s="179"/>
      <c r="B1035" s="179"/>
      <c r="C1035" s="179"/>
      <c r="D1035" s="179"/>
      <c r="E1035" s="179"/>
      <c r="F1035" s="179"/>
      <c r="G1035" s="179"/>
      <c r="H1035" s="179"/>
      <c r="I1035" s="181"/>
      <c r="J1035" s="179"/>
      <c r="K1035" s="179"/>
      <c r="L1035" s="182"/>
      <c r="M1035" s="182"/>
      <c r="N1035" s="179"/>
      <c r="O1035" s="179"/>
      <c r="P1035" s="179"/>
      <c r="Q1035" s="179"/>
      <c r="R1035" s="179"/>
      <c r="S1035" s="179"/>
      <c r="T1035" s="179"/>
      <c r="U1035" s="179"/>
      <c r="V1035" s="179"/>
      <c r="W1035" s="179"/>
      <c r="X1035" s="179"/>
      <c r="Y1035" s="132"/>
      <c r="Z1035" s="179"/>
      <c r="AA1035" s="179"/>
      <c r="AB1035" s="179"/>
      <c r="AC1035" s="179"/>
      <c r="AD1035" s="132"/>
      <c r="AE1035" s="179"/>
      <c r="AF1035" s="179"/>
    </row>
    <row r="1036" ht="12.75" customHeight="1" spans="1:32" x14ac:dyDescent="0.25">
      <c r="A1036" s="179"/>
      <c r="B1036" s="179"/>
      <c r="C1036" s="179"/>
      <c r="D1036" s="179"/>
      <c r="E1036" s="179"/>
      <c r="F1036" s="179"/>
      <c r="G1036" s="179"/>
      <c r="H1036" s="179"/>
      <c r="I1036" s="181"/>
      <c r="J1036" s="179"/>
      <c r="K1036" s="179"/>
      <c r="L1036" s="182"/>
      <c r="M1036" s="182"/>
      <c r="N1036" s="179"/>
      <c r="O1036" s="179"/>
      <c r="P1036" s="179"/>
      <c r="Q1036" s="179"/>
      <c r="R1036" s="179"/>
      <c r="S1036" s="179"/>
      <c r="T1036" s="179"/>
      <c r="U1036" s="179"/>
      <c r="V1036" s="179"/>
      <c r="W1036" s="179"/>
      <c r="X1036" s="179"/>
      <c r="Y1036" s="132"/>
      <c r="Z1036" s="179"/>
      <c r="AA1036" s="179"/>
      <c r="AB1036" s="179"/>
      <c r="AC1036" s="179"/>
      <c r="AD1036" s="132"/>
      <c r="AE1036" s="179"/>
      <c r="AF1036" s="179"/>
    </row>
    <row r="1037" ht="12.75" customHeight="1" spans="1:32" x14ac:dyDescent="0.25">
      <c r="A1037" s="179"/>
      <c r="B1037" s="179"/>
      <c r="C1037" s="179"/>
      <c r="D1037" s="179"/>
      <c r="E1037" s="179"/>
      <c r="F1037" s="179"/>
      <c r="G1037" s="179"/>
      <c r="H1037" s="179"/>
      <c r="I1037" s="181"/>
      <c r="J1037" s="179"/>
      <c r="K1037" s="179"/>
      <c r="L1037" s="182"/>
      <c r="M1037" s="182"/>
      <c r="N1037" s="179"/>
      <c r="O1037" s="179"/>
      <c r="P1037" s="179"/>
      <c r="Q1037" s="179"/>
      <c r="R1037" s="179"/>
      <c r="S1037" s="179"/>
      <c r="T1037" s="179"/>
      <c r="U1037" s="179"/>
      <c r="V1037" s="179"/>
      <c r="W1037" s="179"/>
      <c r="X1037" s="179"/>
      <c r="Y1037" s="132"/>
      <c r="Z1037" s="179"/>
      <c r="AA1037" s="179"/>
      <c r="AB1037" s="179"/>
      <c r="AC1037" s="179"/>
      <c r="AD1037" s="132"/>
      <c r="AE1037" s="179"/>
      <c r="AF1037" s="179"/>
    </row>
    <row r="1038" ht="12.75" customHeight="1" spans="1:32" x14ac:dyDescent="0.25">
      <c r="A1038" s="179"/>
      <c r="B1038" s="179"/>
      <c r="C1038" s="179"/>
      <c r="D1038" s="179"/>
      <c r="E1038" s="179"/>
      <c r="F1038" s="179"/>
      <c r="G1038" s="179"/>
      <c r="H1038" s="179"/>
      <c r="I1038" s="181"/>
      <c r="J1038" s="179"/>
      <c r="K1038" s="179"/>
      <c r="L1038" s="182"/>
      <c r="M1038" s="182"/>
      <c r="N1038" s="179"/>
      <c r="O1038" s="179"/>
      <c r="P1038" s="179"/>
      <c r="Q1038" s="179"/>
      <c r="R1038" s="179"/>
      <c r="S1038" s="179"/>
      <c r="T1038" s="179"/>
      <c r="U1038" s="179"/>
      <c r="V1038" s="179"/>
      <c r="W1038" s="179"/>
      <c r="X1038" s="179"/>
      <c r="Y1038" s="132"/>
      <c r="Z1038" s="179"/>
      <c r="AA1038" s="179"/>
      <c r="AB1038" s="179"/>
      <c r="AC1038" s="179"/>
      <c r="AD1038" s="132"/>
      <c r="AE1038" s="179"/>
      <c r="AF1038" s="179"/>
    </row>
    <row r="1039" ht="12.75" customHeight="1" spans="1:32" x14ac:dyDescent="0.25">
      <c r="A1039" s="179"/>
      <c r="B1039" s="179"/>
      <c r="C1039" s="179"/>
      <c r="D1039" s="179"/>
      <c r="E1039" s="179"/>
      <c r="F1039" s="179"/>
      <c r="G1039" s="179"/>
      <c r="H1039" s="179"/>
      <c r="I1039" s="181"/>
      <c r="J1039" s="179"/>
      <c r="K1039" s="179"/>
      <c r="L1039" s="182"/>
      <c r="M1039" s="182"/>
      <c r="N1039" s="179"/>
      <c r="O1039" s="179"/>
      <c r="P1039" s="179"/>
      <c r="Q1039" s="179"/>
      <c r="R1039" s="179"/>
      <c r="S1039" s="179"/>
      <c r="T1039" s="179"/>
      <c r="U1039" s="179"/>
      <c r="V1039" s="179"/>
      <c r="W1039" s="179"/>
      <c r="X1039" s="179"/>
      <c r="Y1039" s="132"/>
      <c r="Z1039" s="179"/>
      <c r="AA1039" s="179"/>
      <c r="AB1039" s="179"/>
      <c r="AC1039" s="179"/>
      <c r="AD1039" s="132"/>
      <c r="AE1039" s="179"/>
      <c r="AF1039" s="179"/>
    </row>
    <row r="1040" ht="12.75" customHeight="1" spans="1:32" x14ac:dyDescent="0.25">
      <c r="A1040" s="179"/>
      <c r="B1040" s="179"/>
      <c r="C1040" s="179"/>
      <c r="D1040" s="179"/>
      <c r="E1040" s="179"/>
      <c r="F1040" s="179"/>
      <c r="G1040" s="179"/>
      <c r="H1040" s="179"/>
      <c r="I1040" s="181"/>
      <c r="J1040" s="179"/>
      <c r="K1040" s="179"/>
      <c r="L1040" s="182"/>
      <c r="M1040" s="182"/>
      <c r="N1040" s="179"/>
      <c r="O1040" s="179"/>
      <c r="P1040" s="179"/>
      <c r="Q1040" s="179"/>
      <c r="R1040" s="179"/>
      <c r="S1040" s="179"/>
      <c r="T1040" s="179"/>
      <c r="U1040" s="179"/>
      <c r="V1040" s="179"/>
      <c r="W1040" s="179"/>
      <c r="X1040" s="179"/>
      <c r="Y1040" s="132"/>
      <c r="Z1040" s="179"/>
      <c r="AA1040" s="179"/>
      <c r="AB1040" s="179"/>
      <c r="AC1040" s="179"/>
      <c r="AD1040" s="132"/>
      <c r="AE1040" s="179"/>
      <c r="AF1040" s="179"/>
    </row>
    <row r="1041" ht="12.75" customHeight="1" spans="1:32" x14ac:dyDescent="0.25">
      <c r="A1041" s="179"/>
      <c r="B1041" s="179"/>
      <c r="C1041" s="179"/>
      <c r="D1041" s="179"/>
      <c r="E1041" s="179"/>
      <c r="F1041" s="179"/>
      <c r="G1041" s="179"/>
      <c r="H1041" s="179"/>
      <c r="I1041" s="181"/>
      <c r="J1041" s="179"/>
      <c r="K1041" s="179"/>
      <c r="L1041" s="182"/>
      <c r="M1041" s="182"/>
      <c r="N1041" s="179"/>
      <c r="O1041" s="179"/>
      <c r="P1041" s="179"/>
      <c r="Q1041" s="179"/>
      <c r="R1041" s="179"/>
      <c r="S1041" s="179"/>
      <c r="T1041" s="179"/>
      <c r="U1041" s="179"/>
      <c r="V1041" s="179"/>
      <c r="W1041" s="179"/>
      <c r="X1041" s="179"/>
      <c r="Y1041" s="132"/>
      <c r="Z1041" s="179"/>
      <c r="AA1041" s="179"/>
      <c r="AB1041" s="179"/>
      <c r="AC1041" s="179"/>
      <c r="AD1041" s="132"/>
      <c r="AE1041" s="179"/>
      <c r="AF1041" s="179"/>
    </row>
    <row r="1042" ht="12.75" customHeight="1" spans="1:32" x14ac:dyDescent="0.25">
      <c r="A1042" s="179"/>
      <c r="B1042" s="179"/>
      <c r="C1042" s="179"/>
      <c r="D1042" s="179"/>
      <c r="E1042" s="179"/>
      <c r="F1042" s="179"/>
      <c r="G1042" s="179"/>
      <c r="H1042" s="179"/>
      <c r="I1042" s="181"/>
      <c r="J1042" s="179"/>
      <c r="K1042" s="179"/>
      <c r="L1042" s="182"/>
      <c r="M1042" s="182"/>
      <c r="N1042" s="179"/>
      <c r="O1042" s="179"/>
      <c r="P1042" s="179"/>
      <c r="Q1042" s="179"/>
      <c r="R1042" s="179"/>
      <c r="S1042" s="179"/>
      <c r="T1042" s="179"/>
      <c r="U1042" s="179"/>
      <c r="V1042" s="179"/>
      <c r="W1042" s="179"/>
      <c r="X1042" s="179"/>
      <c r="Y1042" s="132"/>
      <c r="Z1042" s="179"/>
      <c r="AA1042" s="179"/>
      <c r="AB1042" s="179"/>
      <c r="AC1042" s="179"/>
      <c r="AD1042" s="132"/>
      <c r="AE1042" s="179"/>
      <c r="AF1042" s="179"/>
    </row>
    <row r="1043" ht="12.75" customHeight="1" spans="1:32" x14ac:dyDescent="0.25">
      <c r="A1043" s="179"/>
      <c r="B1043" s="179"/>
      <c r="C1043" s="179"/>
      <c r="D1043" s="179"/>
      <c r="E1043" s="179"/>
      <c r="F1043" s="179"/>
      <c r="G1043" s="179"/>
      <c r="H1043" s="179"/>
      <c r="I1043" s="181"/>
      <c r="J1043" s="179"/>
      <c r="K1043" s="179"/>
      <c r="L1043" s="182"/>
      <c r="M1043" s="182"/>
      <c r="N1043" s="179"/>
      <c r="O1043" s="179"/>
      <c r="P1043" s="179"/>
      <c r="Q1043" s="179"/>
      <c r="R1043" s="179"/>
      <c r="S1043" s="179"/>
      <c r="T1043" s="179"/>
      <c r="U1043" s="179"/>
      <c r="V1043" s="179"/>
      <c r="W1043" s="179"/>
      <c r="X1043" s="179"/>
      <c r="Y1043" s="132"/>
      <c r="Z1043" s="179"/>
      <c r="AA1043" s="179"/>
      <c r="AB1043" s="179"/>
      <c r="AC1043" s="179"/>
      <c r="AD1043" s="132"/>
      <c r="AE1043" s="179"/>
      <c r="AF1043" s="179"/>
    </row>
    <row r="1044" ht="12.75" customHeight="1" spans="1:32" x14ac:dyDescent="0.25">
      <c r="A1044" s="179"/>
      <c r="B1044" s="179"/>
      <c r="C1044" s="179"/>
      <c r="D1044" s="179"/>
      <c r="E1044" s="179"/>
      <c r="F1044" s="179"/>
      <c r="G1044" s="179"/>
      <c r="H1044" s="179"/>
      <c r="I1044" s="181"/>
      <c r="J1044" s="179"/>
      <c r="K1044" s="179"/>
      <c r="L1044" s="182"/>
      <c r="M1044" s="182"/>
      <c r="N1044" s="179"/>
      <c r="O1044" s="179"/>
      <c r="P1044" s="179"/>
      <c r="Q1044" s="179"/>
      <c r="R1044" s="179"/>
      <c r="S1044" s="179"/>
      <c r="T1044" s="179"/>
      <c r="U1044" s="179"/>
      <c r="V1044" s="179"/>
      <c r="W1044" s="179"/>
      <c r="X1044" s="179"/>
      <c r="Y1044" s="132"/>
      <c r="Z1044" s="179"/>
      <c r="AA1044" s="179"/>
      <c r="AB1044" s="179"/>
      <c r="AC1044" s="179"/>
      <c r="AD1044" s="132"/>
      <c r="AE1044" s="179"/>
      <c r="AF1044" s="179"/>
    </row>
    <row r="1045" ht="12.75" customHeight="1" spans="1:32" x14ac:dyDescent="0.25">
      <c r="A1045" s="179"/>
      <c r="B1045" s="179"/>
      <c r="C1045" s="179"/>
      <c r="D1045" s="179"/>
      <c r="E1045" s="179"/>
      <c r="F1045" s="179"/>
      <c r="G1045" s="179"/>
      <c r="H1045" s="179"/>
      <c r="I1045" s="181"/>
      <c r="J1045" s="179"/>
      <c r="K1045" s="179"/>
      <c r="L1045" s="182"/>
      <c r="M1045" s="182"/>
      <c r="N1045" s="179"/>
      <c r="O1045" s="179"/>
      <c r="P1045" s="179"/>
      <c r="Q1045" s="179"/>
      <c r="R1045" s="179"/>
      <c r="S1045" s="179"/>
      <c r="T1045" s="179"/>
      <c r="U1045" s="179"/>
      <c r="V1045" s="179"/>
      <c r="W1045" s="179"/>
      <c r="X1045" s="179"/>
      <c r="Y1045" s="132"/>
      <c r="Z1045" s="179"/>
      <c r="AA1045" s="179"/>
      <c r="AB1045" s="179"/>
      <c r="AC1045" s="179"/>
      <c r="AD1045" s="132"/>
      <c r="AE1045" s="179"/>
      <c r="AF1045" s="179"/>
    </row>
    <row r="1046" ht="12.75" customHeight="1" spans="1:32" x14ac:dyDescent="0.25">
      <c r="A1046" s="179"/>
      <c r="B1046" s="179"/>
      <c r="C1046" s="179"/>
      <c r="D1046" s="179"/>
      <c r="E1046" s="179"/>
      <c r="F1046" s="179"/>
      <c r="G1046" s="179"/>
      <c r="H1046" s="179"/>
      <c r="I1046" s="181"/>
      <c r="J1046" s="179"/>
      <c r="K1046" s="179"/>
      <c r="L1046" s="182"/>
      <c r="M1046" s="182"/>
      <c r="N1046" s="179"/>
      <c r="O1046" s="179"/>
      <c r="P1046" s="179"/>
      <c r="Q1046" s="179"/>
      <c r="R1046" s="179"/>
      <c r="S1046" s="179"/>
      <c r="T1046" s="179"/>
      <c r="U1046" s="179"/>
      <c r="V1046" s="179"/>
      <c r="W1046" s="179"/>
      <c r="X1046" s="179"/>
      <c r="Y1046" s="132"/>
      <c r="Z1046" s="179"/>
      <c r="AA1046" s="179"/>
      <c r="AB1046" s="179"/>
      <c r="AC1046" s="179"/>
      <c r="AD1046" s="132"/>
      <c r="AE1046" s="179"/>
      <c r="AF1046" s="179"/>
    </row>
    <row r="1047" ht="12.75" customHeight="1" spans="1:32" x14ac:dyDescent="0.25">
      <c r="A1047" s="179"/>
      <c r="B1047" s="179"/>
      <c r="C1047" s="179"/>
      <c r="D1047" s="179"/>
      <c r="E1047" s="179"/>
      <c r="F1047" s="179"/>
      <c r="G1047" s="179"/>
      <c r="H1047" s="179"/>
      <c r="I1047" s="181"/>
      <c r="J1047" s="179"/>
      <c r="K1047" s="179"/>
      <c r="L1047" s="182"/>
      <c r="M1047" s="182"/>
      <c r="N1047" s="179"/>
      <c r="O1047" s="179"/>
      <c r="P1047" s="179"/>
      <c r="Q1047" s="179"/>
      <c r="R1047" s="179"/>
      <c r="S1047" s="179"/>
      <c r="T1047" s="179"/>
      <c r="U1047" s="179"/>
      <c r="V1047" s="179"/>
      <c r="W1047" s="179"/>
      <c r="X1047" s="179"/>
      <c r="Y1047" s="132"/>
      <c r="Z1047" s="179"/>
      <c r="AA1047" s="179"/>
      <c r="AB1047" s="179"/>
      <c r="AC1047" s="179"/>
      <c r="AD1047" s="132"/>
      <c r="AE1047" s="179"/>
      <c r="AF1047" s="179"/>
    </row>
    <row r="1048" ht="12.75" customHeight="1" spans="1:32" x14ac:dyDescent="0.25">
      <c r="A1048" s="179"/>
      <c r="B1048" s="179"/>
      <c r="C1048" s="179"/>
      <c r="D1048" s="179"/>
      <c r="E1048" s="179"/>
      <c r="F1048" s="179"/>
      <c r="G1048" s="179"/>
      <c r="H1048" s="179"/>
      <c r="I1048" s="181"/>
      <c r="J1048" s="179"/>
      <c r="K1048" s="179"/>
      <c r="L1048" s="182"/>
      <c r="M1048" s="182"/>
      <c r="N1048" s="179"/>
      <c r="O1048" s="179"/>
      <c r="P1048" s="179"/>
      <c r="Q1048" s="179"/>
      <c r="R1048" s="179"/>
      <c r="S1048" s="179"/>
      <c r="T1048" s="179"/>
      <c r="U1048" s="179"/>
      <c r="V1048" s="179"/>
      <c r="W1048" s="179"/>
      <c r="X1048" s="179"/>
      <c r="Y1048" s="132"/>
      <c r="Z1048" s="179"/>
      <c r="AA1048" s="179"/>
      <c r="AB1048" s="179"/>
      <c r="AC1048" s="179"/>
      <c r="AD1048" s="132"/>
      <c r="AE1048" s="179"/>
      <c r="AF1048" s="179"/>
    </row>
    <row r="1049" ht="12.75" customHeight="1" spans="1:32" x14ac:dyDescent="0.25">
      <c r="A1049" s="179"/>
      <c r="B1049" s="179"/>
      <c r="C1049" s="179"/>
      <c r="D1049" s="179"/>
      <c r="E1049" s="179"/>
      <c r="F1049" s="179"/>
      <c r="G1049" s="179"/>
      <c r="H1049" s="179"/>
      <c r="I1049" s="181"/>
      <c r="J1049" s="179"/>
      <c r="K1049" s="179"/>
      <c r="L1049" s="182"/>
      <c r="M1049" s="182"/>
      <c r="N1049" s="179"/>
      <c r="O1049" s="179"/>
      <c r="P1049" s="179"/>
      <c r="Q1049" s="179"/>
      <c r="R1049" s="179"/>
      <c r="S1049" s="179"/>
      <c r="T1049" s="179"/>
      <c r="U1049" s="179"/>
      <c r="V1049" s="179"/>
      <c r="W1049" s="179"/>
      <c r="X1049" s="179"/>
      <c r="Y1049" s="132"/>
      <c r="Z1049" s="179"/>
      <c r="AA1049" s="179"/>
      <c r="AB1049" s="179"/>
      <c r="AC1049" s="179"/>
      <c r="AD1049" s="132"/>
      <c r="AE1049" s="179"/>
      <c r="AF1049" s="179"/>
    </row>
    <row r="1050" ht="12.75" customHeight="1" spans="1:32" x14ac:dyDescent="0.25">
      <c r="A1050" s="179"/>
      <c r="B1050" s="179"/>
      <c r="C1050" s="179"/>
      <c r="D1050" s="179"/>
      <c r="E1050" s="179"/>
      <c r="F1050" s="179"/>
      <c r="G1050" s="179"/>
      <c r="H1050" s="179"/>
      <c r="I1050" s="181"/>
      <c r="J1050" s="179"/>
      <c r="K1050" s="179"/>
      <c r="L1050" s="182"/>
      <c r="M1050" s="182"/>
      <c r="N1050" s="179"/>
      <c r="O1050" s="179"/>
      <c r="P1050" s="179"/>
      <c r="Q1050" s="179"/>
      <c r="R1050" s="179"/>
      <c r="S1050" s="179"/>
      <c r="T1050" s="179"/>
      <c r="U1050" s="179"/>
      <c r="V1050" s="179"/>
      <c r="W1050" s="179"/>
      <c r="X1050" s="179"/>
      <c r="Y1050" s="132"/>
      <c r="Z1050" s="179"/>
      <c r="AA1050" s="179"/>
      <c r="AB1050" s="179"/>
      <c r="AC1050" s="179"/>
      <c r="AD1050" s="132"/>
      <c r="AE1050" s="179"/>
      <c r="AF1050" s="179"/>
    </row>
    <row r="1051" ht="12.75" customHeight="1" spans="1:32" x14ac:dyDescent="0.25">
      <c r="A1051" s="179"/>
      <c r="B1051" s="179"/>
      <c r="C1051" s="179"/>
      <c r="D1051" s="179"/>
      <c r="E1051" s="179"/>
      <c r="F1051" s="179"/>
      <c r="G1051" s="179"/>
      <c r="H1051" s="179"/>
      <c r="I1051" s="181"/>
      <c r="J1051" s="179"/>
      <c r="K1051" s="179"/>
      <c r="L1051" s="182"/>
      <c r="M1051" s="182"/>
      <c r="N1051" s="179"/>
      <c r="O1051" s="179"/>
      <c r="P1051" s="179"/>
      <c r="Q1051" s="179"/>
      <c r="R1051" s="179"/>
      <c r="S1051" s="179"/>
      <c r="T1051" s="179"/>
      <c r="U1051" s="179"/>
      <c r="V1051" s="179"/>
      <c r="W1051" s="179"/>
      <c r="X1051" s="179"/>
      <c r="Y1051" s="132"/>
      <c r="Z1051" s="179"/>
      <c r="AA1051" s="179"/>
      <c r="AB1051" s="179"/>
      <c r="AC1051" s="179"/>
      <c r="AD1051" s="132"/>
      <c r="AE1051" s="179"/>
      <c r="AF1051" s="179"/>
    </row>
    <row r="1052" ht="12.75" customHeight="1" spans="1:32" x14ac:dyDescent="0.25">
      <c r="A1052" s="179"/>
      <c r="B1052" s="179"/>
      <c r="C1052" s="179"/>
      <c r="D1052" s="179"/>
      <c r="E1052" s="179"/>
      <c r="F1052" s="179"/>
      <c r="G1052" s="179"/>
      <c r="H1052" s="179"/>
      <c r="I1052" s="181"/>
      <c r="J1052" s="179"/>
      <c r="K1052" s="179"/>
      <c r="L1052" s="182"/>
      <c r="M1052" s="182"/>
      <c r="N1052" s="179"/>
      <c r="O1052" s="179"/>
      <c r="P1052" s="179"/>
      <c r="Q1052" s="179"/>
      <c r="R1052" s="179"/>
      <c r="S1052" s="179"/>
      <c r="T1052" s="179"/>
      <c r="U1052" s="179"/>
      <c r="V1052" s="179"/>
      <c r="W1052" s="179"/>
      <c r="X1052" s="179"/>
      <c r="Y1052" s="132"/>
      <c r="Z1052" s="179"/>
      <c r="AA1052" s="179"/>
      <c r="AB1052" s="179"/>
      <c r="AC1052" s="179"/>
      <c r="AD1052" s="132"/>
      <c r="AE1052" s="179"/>
      <c r="AF1052" s="179"/>
    </row>
    <row r="1053" ht="12.75" customHeight="1" spans="1:32" x14ac:dyDescent="0.25">
      <c r="A1053" s="179"/>
      <c r="B1053" s="179"/>
      <c r="C1053" s="179"/>
      <c r="D1053" s="179"/>
      <c r="E1053" s="179"/>
      <c r="F1053" s="179"/>
      <c r="G1053" s="179"/>
      <c r="H1053" s="179"/>
      <c r="I1053" s="181"/>
      <c r="J1053" s="179"/>
      <c r="K1053" s="179"/>
      <c r="L1053" s="182"/>
      <c r="M1053" s="182"/>
      <c r="N1053" s="179"/>
      <c r="O1053" s="179"/>
      <c r="P1053" s="179"/>
      <c r="Q1053" s="179"/>
      <c r="R1053" s="179"/>
      <c r="S1053" s="179"/>
      <c r="T1053" s="179"/>
      <c r="U1053" s="179"/>
      <c r="V1053" s="179"/>
      <c r="W1053" s="179"/>
      <c r="X1053" s="179"/>
      <c r="Y1053" s="132"/>
      <c r="Z1053" s="179"/>
      <c r="AA1053" s="179"/>
      <c r="AB1053" s="179"/>
      <c r="AC1053" s="179"/>
      <c r="AD1053" s="132"/>
      <c r="AE1053" s="179"/>
      <c r="AF1053" s="179"/>
    </row>
    <row r="1054" ht="12.75" customHeight="1" spans="1:32" x14ac:dyDescent="0.25">
      <c r="A1054" s="179"/>
      <c r="B1054" s="179"/>
      <c r="C1054" s="179"/>
      <c r="D1054" s="179"/>
      <c r="E1054" s="179"/>
      <c r="F1054" s="179"/>
      <c r="G1054" s="179"/>
      <c r="H1054" s="179"/>
      <c r="I1054" s="181"/>
      <c r="J1054" s="179"/>
      <c r="K1054" s="179"/>
      <c r="L1054" s="182"/>
      <c r="M1054" s="182"/>
      <c r="N1054" s="179"/>
      <c r="O1054" s="179"/>
      <c r="P1054" s="179"/>
      <c r="Q1054" s="179"/>
      <c r="R1054" s="179"/>
      <c r="S1054" s="179"/>
      <c r="T1054" s="179"/>
      <c r="U1054" s="179"/>
      <c r="V1054" s="179"/>
      <c r="W1054" s="179"/>
      <c r="X1054" s="179"/>
      <c r="Y1054" s="132"/>
      <c r="Z1054" s="179"/>
      <c r="AA1054" s="179"/>
      <c r="AB1054" s="179"/>
      <c r="AC1054" s="179"/>
      <c r="AD1054" s="132"/>
      <c r="AE1054" s="179"/>
      <c r="AF1054" s="179"/>
    </row>
    <row r="1055" ht="12.75" customHeight="1" spans="1:32" x14ac:dyDescent="0.25">
      <c r="A1055" s="179"/>
      <c r="B1055" s="179"/>
      <c r="C1055" s="179"/>
      <c r="D1055" s="179"/>
      <c r="E1055" s="179"/>
      <c r="F1055" s="179"/>
      <c r="G1055" s="179"/>
      <c r="H1055" s="179"/>
      <c r="I1055" s="181"/>
      <c r="J1055" s="179"/>
      <c r="K1055" s="179"/>
      <c r="L1055" s="182"/>
      <c r="M1055" s="182"/>
      <c r="N1055" s="179"/>
      <c r="O1055" s="179"/>
      <c r="P1055" s="179"/>
      <c r="Q1055" s="179"/>
      <c r="R1055" s="179"/>
      <c r="S1055" s="179"/>
      <c r="T1055" s="179"/>
      <c r="U1055" s="179"/>
      <c r="V1055" s="179"/>
      <c r="W1055" s="179"/>
      <c r="X1055" s="179"/>
      <c r="Y1055" s="132"/>
      <c r="Z1055" s="179"/>
      <c r="AA1055" s="179"/>
      <c r="AB1055" s="179"/>
      <c r="AC1055" s="179"/>
      <c r="AD1055" s="132"/>
      <c r="AE1055" s="179"/>
      <c r="AF1055" s="179"/>
    </row>
    <row r="1056" ht="12.75" customHeight="1" spans="1:32" x14ac:dyDescent="0.25">
      <c r="A1056" s="179"/>
      <c r="B1056" s="179"/>
      <c r="C1056" s="179"/>
      <c r="D1056" s="179"/>
      <c r="E1056" s="179"/>
      <c r="F1056" s="179"/>
      <c r="G1056" s="179"/>
      <c r="H1056" s="179"/>
      <c r="I1056" s="181"/>
      <c r="J1056" s="179"/>
      <c r="K1056" s="179"/>
      <c r="L1056" s="182"/>
      <c r="M1056" s="182"/>
      <c r="N1056" s="179"/>
      <c r="O1056" s="179"/>
      <c r="P1056" s="179"/>
      <c r="Q1056" s="179"/>
      <c r="R1056" s="179"/>
      <c r="S1056" s="179"/>
      <c r="T1056" s="179"/>
      <c r="U1056" s="179"/>
      <c r="V1056" s="179"/>
      <c r="W1056" s="179"/>
      <c r="X1056" s="179"/>
      <c r="Y1056" s="132"/>
      <c r="Z1056" s="179"/>
      <c r="AA1056" s="179"/>
      <c r="AB1056" s="179"/>
      <c r="AC1056" s="179"/>
      <c r="AD1056" s="132"/>
      <c r="AE1056" s="179"/>
      <c r="AF1056" s="179"/>
    </row>
    <row r="1057" ht="12.75" customHeight="1" spans="1:32" x14ac:dyDescent="0.25">
      <c r="A1057" s="179"/>
      <c r="B1057" s="179"/>
      <c r="C1057" s="179"/>
      <c r="D1057" s="179"/>
      <c r="E1057" s="179"/>
      <c r="F1057" s="179"/>
      <c r="G1057" s="179"/>
      <c r="H1057" s="179"/>
      <c r="I1057" s="181"/>
      <c r="J1057" s="179"/>
      <c r="K1057" s="179"/>
      <c r="L1057" s="182"/>
      <c r="M1057" s="182"/>
      <c r="N1057" s="179"/>
      <c r="O1057" s="179"/>
      <c r="P1057" s="179"/>
      <c r="Q1057" s="179"/>
      <c r="R1057" s="179"/>
      <c r="S1057" s="179"/>
      <c r="T1057" s="179"/>
      <c r="U1057" s="179"/>
      <c r="V1057" s="179"/>
      <c r="W1057" s="179"/>
      <c r="X1057" s="179"/>
      <c r="Y1057" s="132"/>
      <c r="Z1057" s="179"/>
      <c r="AA1057" s="179"/>
      <c r="AB1057" s="179"/>
      <c r="AC1057" s="179"/>
      <c r="AD1057" s="132"/>
      <c r="AE1057" s="179"/>
      <c r="AF1057" s="179"/>
    </row>
    <row r="1058" ht="12.75" customHeight="1" spans="1:32" x14ac:dyDescent="0.25">
      <c r="A1058" s="179"/>
      <c r="B1058" s="179"/>
      <c r="C1058" s="179"/>
      <c r="D1058" s="179"/>
      <c r="E1058" s="179"/>
      <c r="F1058" s="179"/>
      <c r="G1058" s="179"/>
      <c r="H1058" s="179"/>
      <c r="I1058" s="181"/>
      <c r="J1058" s="179"/>
      <c r="K1058" s="179"/>
      <c r="L1058" s="182"/>
      <c r="M1058" s="182"/>
      <c r="N1058" s="179"/>
      <c r="O1058" s="179"/>
      <c r="P1058" s="179"/>
      <c r="Q1058" s="179"/>
      <c r="R1058" s="179"/>
      <c r="S1058" s="179"/>
      <c r="T1058" s="179"/>
      <c r="U1058" s="179"/>
      <c r="V1058" s="179"/>
      <c r="W1058" s="179"/>
      <c r="X1058" s="179"/>
      <c r="Y1058" s="132"/>
      <c r="Z1058" s="179"/>
      <c r="AA1058" s="179"/>
      <c r="AB1058" s="179"/>
      <c r="AC1058" s="179"/>
      <c r="AD1058" s="132"/>
      <c r="AE1058" s="179"/>
      <c r="AF1058" s="179"/>
    </row>
    <row r="1059" ht="12.75" customHeight="1" spans="1:32" x14ac:dyDescent="0.25">
      <c r="A1059" s="179"/>
      <c r="B1059" s="179"/>
      <c r="C1059" s="179"/>
      <c r="D1059" s="179"/>
      <c r="E1059" s="179"/>
      <c r="F1059" s="179"/>
      <c r="G1059" s="179"/>
      <c r="H1059" s="179"/>
      <c r="I1059" s="181"/>
      <c r="J1059" s="179"/>
      <c r="K1059" s="179"/>
      <c r="L1059" s="182"/>
      <c r="M1059" s="182"/>
      <c r="N1059" s="179"/>
      <c r="O1059" s="179"/>
      <c r="P1059" s="179"/>
      <c r="Q1059" s="179"/>
      <c r="R1059" s="179"/>
      <c r="S1059" s="179"/>
      <c r="T1059" s="179"/>
      <c r="U1059" s="179"/>
      <c r="V1059" s="179"/>
      <c r="W1059" s="179"/>
      <c r="X1059" s="179"/>
      <c r="Y1059" s="132"/>
      <c r="Z1059" s="179"/>
      <c r="AA1059" s="179"/>
      <c r="AB1059" s="179"/>
      <c r="AC1059" s="179"/>
      <c r="AD1059" s="132"/>
      <c r="AE1059" s="179"/>
      <c r="AF1059" s="179"/>
    </row>
    <row r="1060" ht="12.75" customHeight="1" spans="1:32" x14ac:dyDescent="0.25">
      <c r="A1060" s="179"/>
      <c r="B1060" s="179"/>
      <c r="C1060" s="179"/>
      <c r="D1060" s="179"/>
      <c r="E1060" s="179"/>
      <c r="F1060" s="179"/>
      <c r="G1060" s="179"/>
      <c r="H1060" s="179"/>
      <c r="I1060" s="181"/>
      <c r="J1060" s="179"/>
      <c r="K1060" s="179"/>
      <c r="L1060" s="182"/>
      <c r="M1060" s="182"/>
      <c r="N1060" s="179"/>
      <c r="O1060" s="179"/>
      <c r="P1060" s="179"/>
      <c r="Q1060" s="179"/>
      <c r="R1060" s="179"/>
      <c r="S1060" s="179"/>
      <c r="T1060" s="179"/>
      <c r="U1060" s="179"/>
      <c r="V1060" s="179"/>
      <c r="W1060" s="179"/>
      <c r="X1060" s="179"/>
      <c r="Y1060" s="132"/>
      <c r="Z1060" s="179"/>
      <c r="AA1060" s="179"/>
      <c r="AB1060" s="179"/>
      <c r="AC1060" s="179"/>
      <c r="AD1060" s="132"/>
      <c r="AE1060" s="179"/>
      <c r="AF1060" s="179"/>
    </row>
    <row r="1061" ht="12.75" customHeight="1" spans="1:32" x14ac:dyDescent="0.25">
      <c r="A1061" s="179"/>
      <c r="B1061" s="179"/>
      <c r="C1061" s="179"/>
      <c r="D1061" s="179"/>
      <c r="E1061" s="179"/>
      <c r="F1061" s="179"/>
      <c r="G1061" s="179"/>
      <c r="H1061" s="179"/>
      <c r="I1061" s="181"/>
      <c r="J1061" s="179"/>
      <c r="K1061" s="179"/>
      <c r="L1061" s="182"/>
      <c r="M1061" s="182"/>
      <c r="N1061" s="179"/>
      <c r="O1061" s="179"/>
      <c r="P1061" s="179"/>
      <c r="Q1061" s="179"/>
      <c r="R1061" s="179"/>
      <c r="S1061" s="179"/>
      <c r="T1061" s="179"/>
      <c r="U1061" s="179"/>
      <c r="V1061" s="179"/>
      <c r="W1061" s="179"/>
      <c r="X1061" s="179"/>
      <c r="Y1061" s="132"/>
      <c r="Z1061" s="179"/>
      <c r="AA1061" s="179"/>
      <c r="AB1061" s="179"/>
      <c r="AC1061" s="179"/>
      <c r="AD1061" s="132"/>
      <c r="AE1061" s="179"/>
      <c r="AF1061" s="179"/>
    </row>
    <row r="1062" ht="12.75" customHeight="1" spans="1:32" x14ac:dyDescent="0.25">
      <c r="A1062" s="179"/>
      <c r="B1062" s="179"/>
      <c r="C1062" s="179"/>
      <c r="D1062" s="179"/>
      <c r="E1062" s="179"/>
      <c r="F1062" s="179"/>
      <c r="G1062" s="179"/>
      <c r="H1062" s="179"/>
      <c r="I1062" s="181"/>
      <c r="J1062" s="179"/>
      <c r="K1062" s="179"/>
      <c r="L1062" s="182"/>
      <c r="M1062" s="182"/>
      <c r="N1062" s="179"/>
      <c r="O1062" s="179"/>
      <c r="P1062" s="179"/>
      <c r="Q1062" s="179"/>
      <c r="R1062" s="179"/>
      <c r="S1062" s="179"/>
      <c r="T1062" s="179"/>
      <c r="U1062" s="179"/>
      <c r="V1062" s="179"/>
      <c r="W1062" s="179"/>
      <c r="X1062" s="179"/>
      <c r="Y1062" s="132"/>
      <c r="Z1062" s="179"/>
      <c r="AA1062" s="179"/>
      <c r="AB1062" s="179"/>
      <c r="AC1062" s="179"/>
      <c r="AD1062" s="132"/>
      <c r="AE1062" s="179"/>
      <c r="AF1062" s="179"/>
    </row>
    <row r="1063" ht="12.75" customHeight="1" spans="1:32" x14ac:dyDescent="0.25">
      <c r="A1063" s="179"/>
      <c r="B1063" s="179"/>
      <c r="C1063" s="179"/>
      <c r="D1063" s="179"/>
      <c r="E1063" s="179"/>
      <c r="F1063" s="179"/>
      <c r="G1063" s="179"/>
      <c r="H1063" s="179"/>
      <c r="I1063" s="181"/>
      <c r="J1063" s="179"/>
      <c r="K1063" s="179"/>
      <c r="L1063" s="182"/>
      <c r="M1063" s="182"/>
      <c r="N1063" s="179"/>
      <c r="O1063" s="179"/>
      <c r="P1063" s="179"/>
      <c r="Q1063" s="179"/>
      <c r="R1063" s="179"/>
      <c r="S1063" s="179"/>
      <c r="T1063" s="179"/>
      <c r="U1063" s="179"/>
      <c r="V1063" s="179"/>
      <c r="W1063" s="179"/>
      <c r="X1063" s="179"/>
      <c r="Y1063" s="132"/>
      <c r="Z1063" s="179"/>
      <c r="AA1063" s="179"/>
      <c r="AB1063" s="179"/>
      <c r="AC1063" s="179"/>
      <c r="AD1063" s="132"/>
      <c r="AE1063" s="179"/>
      <c r="AF1063" s="179"/>
    </row>
    <row r="1064" ht="12.75" customHeight="1" spans="1:32" x14ac:dyDescent="0.25">
      <c r="A1064" s="179"/>
      <c r="B1064" s="179"/>
      <c r="C1064" s="179"/>
      <c r="D1064" s="179"/>
      <c r="E1064" s="179"/>
      <c r="F1064" s="179"/>
      <c r="G1064" s="179"/>
      <c r="H1064" s="179"/>
      <c r="I1064" s="181"/>
      <c r="J1064" s="179"/>
      <c r="K1064" s="179"/>
      <c r="L1064" s="182"/>
      <c r="M1064" s="182"/>
      <c r="N1064" s="179"/>
      <c r="O1064" s="179"/>
      <c r="P1064" s="179"/>
      <c r="Q1064" s="179"/>
      <c r="R1064" s="179"/>
      <c r="S1064" s="179"/>
      <c r="T1064" s="179"/>
      <c r="U1064" s="179"/>
      <c r="V1064" s="179"/>
      <c r="W1064" s="179"/>
      <c r="X1064" s="179"/>
      <c r="Y1064" s="132"/>
      <c r="Z1064" s="179"/>
      <c r="AA1064" s="179"/>
      <c r="AB1064" s="179"/>
      <c r="AC1064" s="179"/>
      <c r="AD1064" s="132"/>
      <c r="AE1064" s="179"/>
      <c r="AF1064" s="179"/>
    </row>
    <row r="1065" ht="12.75" customHeight="1" spans="1:32" x14ac:dyDescent="0.25">
      <c r="A1065" s="179"/>
      <c r="B1065" s="179"/>
      <c r="C1065" s="179"/>
      <c r="D1065" s="179"/>
      <c r="E1065" s="179"/>
      <c r="F1065" s="179"/>
      <c r="G1065" s="179"/>
      <c r="H1065" s="179"/>
      <c r="I1065" s="181"/>
      <c r="J1065" s="179"/>
      <c r="K1065" s="179"/>
      <c r="L1065" s="182"/>
      <c r="M1065" s="182"/>
      <c r="N1065" s="179"/>
      <c r="O1065" s="179"/>
      <c r="P1065" s="179"/>
      <c r="Q1065" s="179"/>
      <c r="R1065" s="179"/>
      <c r="S1065" s="179"/>
      <c r="T1065" s="179"/>
      <c r="U1065" s="179"/>
      <c r="V1065" s="179"/>
      <c r="W1065" s="179"/>
      <c r="X1065" s="179"/>
      <c r="Y1065" s="132"/>
      <c r="Z1065" s="179"/>
      <c r="AA1065" s="179"/>
      <c r="AB1065" s="179"/>
      <c r="AC1065" s="179"/>
      <c r="AD1065" s="132"/>
      <c r="AE1065" s="179"/>
      <c r="AF1065" s="179"/>
    </row>
    <row r="1066" ht="12.75" customHeight="1" spans="1:32" x14ac:dyDescent="0.25">
      <c r="A1066" s="179"/>
      <c r="B1066" s="179"/>
      <c r="C1066" s="179"/>
      <c r="D1066" s="179"/>
      <c r="E1066" s="179"/>
      <c r="F1066" s="179"/>
      <c r="G1066" s="179"/>
      <c r="H1066" s="179"/>
      <c r="I1066" s="181"/>
      <c r="J1066" s="179"/>
      <c r="K1066" s="179"/>
      <c r="L1066" s="182"/>
      <c r="M1066" s="182"/>
      <c r="N1066" s="179"/>
      <c r="O1066" s="179"/>
      <c r="P1066" s="179"/>
      <c r="Q1066" s="179"/>
      <c r="R1066" s="179"/>
      <c r="S1066" s="179"/>
      <c r="T1066" s="179"/>
      <c r="U1066" s="179"/>
      <c r="V1066" s="179"/>
      <c r="W1066" s="179"/>
      <c r="X1066" s="179"/>
      <c r="Y1066" s="132"/>
      <c r="Z1066" s="179"/>
      <c r="AA1066" s="179"/>
      <c r="AB1066" s="179"/>
      <c r="AC1066" s="179"/>
      <c r="AD1066" s="132"/>
      <c r="AE1066" s="179"/>
      <c r="AF1066" s="179"/>
    </row>
    <row r="1067" ht="12.75" customHeight="1" spans="1:32" x14ac:dyDescent="0.25">
      <c r="A1067" s="179"/>
      <c r="B1067" s="179"/>
      <c r="C1067" s="179"/>
      <c r="D1067" s="179"/>
      <c r="E1067" s="179"/>
      <c r="F1067" s="179"/>
      <c r="G1067" s="179"/>
      <c r="H1067" s="179"/>
      <c r="I1067" s="181"/>
      <c r="J1067" s="179"/>
      <c r="K1067" s="179"/>
      <c r="L1067" s="182"/>
      <c r="M1067" s="182"/>
      <c r="N1067" s="179"/>
      <c r="O1067" s="179"/>
      <c r="P1067" s="179"/>
      <c r="Q1067" s="179"/>
      <c r="R1067" s="179"/>
      <c r="S1067" s="179"/>
      <c r="T1067" s="179"/>
      <c r="U1067" s="179"/>
      <c r="V1067" s="179"/>
      <c r="W1067" s="179"/>
      <c r="X1067" s="179"/>
      <c r="Y1067" s="132"/>
      <c r="Z1067" s="179"/>
      <c r="AA1067" s="179"/>
      <c r="AB1067" s="179"/>
      <c r="AC1067" s="179"/>
      <c r="AD1067" s="132"/>
      <c r="AE1067" s="179"/>
      <c r="AF1067" s="179"/>
    </row>
    <row r="1068" ht="12.75" customHeight="1" spans="1:32" x14ac:dyDescent="0.25">
      <c r="A1068" s="179"/>
      <c r="B1068" s="179"/>
      <c r="C1068" s="179"/>
      <c r="D1068" s="179"/>
      <c r="E1068" s="179"/>
      <c r="F1068" s="179"/>
      <c r="G1068" s="179"/>
      <c r="H1068" s="179"/>
      <c r="I1068" s="181"/>
      <c r="J1068" s="179"/>
      <c r="K1068" s="179"/>
      <c r="L1068" s="182"/>
      <c r="M1068" s="182"/>
      <c r="N1068" s="179"/>
      <c r="O1068" s="179"/>
      <c r="P1068" s="179"/>
      <c r="Q1068" s="179"/>
      <c r="R1068" s="179"/>
      <c r="S1068" s="179"/>
      <c r="T1068" s="179"/>
      <c r="U1068" s="179"/>
      <c r="V1068" s="179"/>
      <c r="W1068" s="179"/>
      <c r="X1068" s="179"/>
      <c r="Y1068" s="132"/>
      <c r="Z1068" s="179"/>
      <c r="AA1068" s="179"/>
      <c r="AB1068" s="179"/>
      <c r="AC1068" s="179"/>
      <c r="AD1068" s="132"/>
      <c r="AE1068" s="179"/>
      <c r="AF1068" s="179"/>
    </row>
    <row r="1069" ht="12.75" customHeight="1" spans="1:32" x14ac:dyDescent="0.25">
      <c r="A1069" s="179"/>
      <c r="B1069" s="179"/>
      <c r="C1069" s="179"/>
      <c r="D1069" s="179"/>
      <c r="E1069" s="179"/>
      <c r="F1069" s="179"/>
      <c r="G1069" s="179"/>
      <c r="H1069" s="179"/>
      <c r="I1069" s="181"/>
      <c r="J1069" s="179"/>
      <c r="K1069" s="179"/>
      <c r="L1069" s="182"/>
      <c r="M1069" s="182"/>
      <c r="N1069" s="179"/>
      <c r="O1069" s="179"/>
      <c r="P1069" s="179"/>
      <c r="Q1069" s="179"/>
      <c r="R1069" s="179"/>
      <c r="S1069" s="179"/>
      <c r="T1069" s="179"/>
      <c r="U1069" s="179"/>
      <c r="V1069" s="179"/>
      <c r="W1069" s="179"/>
      <c r="X1069" s="179"/>
      <c r="Y1069" s="132"/>
      <c r="Z1069" s="179"/>
      <c r="AA1069" s="179"/>
      <c r="AB1069" s="179"/>
      <c r="AC1069" s="179"/>
      <c r="AD1069" s="132"/>
      <c r="AE1069" s="179"/>
      <c r="AF1069" s="179"/>
    </row>
    <row r="1070" ht="12.75" customHeight="1" spans="1:32" x14ac:dyDescent="0.25">
      <c r="A1070" s="179"/>
      <c r="B1070" s="179"/>
      <c r="C1070" s="179"/>
      <c r="D1070" s="179"/>
      <c r="E1070" s="179"/>
      <c r="F1070" s="179"/>
      <c r="G1070" s="179"/>
      <c r="H1070" s="179"/>
      <c r="I1070" s="181"/>
      <c r="J1070" s="179"/>
      <c r="K1070" s="179"/>
      <c r="L1070" s="182"/>
      <c r="M1070" s="182"/>
      <c r="N1070" s="179"/>
      <c r="O1070" s="179"/>
      <c r="P1070" s="179"/>
      <c r="Q1070" s="179"/>
      <c r="R1070" s="179"/>
      <c r="S1070" s="179"/>
      <c r="T1070" s="179"/>
      <c r="U1070" s="179"/>
      <c r="V1070" s="179"/>
      <c r="W1070" s="179"/>
      <c r="X1070" s="179"/>
      <c r="Y1070" s="132"/>
      <c r="Z1070" s="179"/>
      <c r="AA1070" s="179"/>
      <c r="AB1070" s="179"/>
      <c r="AC1070" s="179"/>
      <c r="AD1070" s="132"/>
      <c r="AE1070" s="179"/>
      <c r="AF1070" s="179"/>
    </row>
    <row r="1071" ht="12.75" customHeight="1" spans="1:32" x14ac:dyDescent="0.25">
      <c r="A1071" s="179"/>
      <c r="B1071" s="179"/>
      <c r="C1071" s="179"/>
      <c r="D1071" s="179"/>
      <c r="E1071" s="179"/>
      <c r="F1071" s="179"/>
      <c r="G1071" s="179"/>
      <c r="H1071" s="179"/>
      <c r="I1071" s="181"/>
      <c r="J1071" s="179"/>
      <c r="K1071" s="179"/>
      <c r="L1071" s="182"/>
      <c r="M1071" s="182"/>
      <c r="N1071" s="179"/>
      <c r="O1071" s="179"/>
      <c r="P1071" s="179"/>
      <c r="Q1071" s="179"/>
      <c r="R1071" s="179"/>
      <c r="S1071" s="179"/>
      <c r="T1071" s="179"/>
      <c r="U1071" s="179"/>
      <c r="V1071" s="179"/>
      <c r="W1071" s="179"/>
      <c r="X1071" s="179"/>
      <c r="Y1071" s="132"/>
      <c r="Z1071" s="179"/>
      <c r="AA1071" s="179"/>
      <c r="AB1071" s="179"/>
      <c r="AC1071" s="179"/>
      <c r="AD1071" s="132"/>
      <c r="AE1071" s="179"/>
      <c r="AF1071" s="179"/>
    </row>
    <row r="1072" ht="12.75" customHeight="1" spans="1:32" x14ac:dyDescent="0.25">
      <c r="A1072" s="179"/>
      <c r="B1072" s="179"/>
      <c r="C1072" s="179"/>
      <c r="D1072" s="179"/>
      <c r="E1072" s="179"/>
      <c r="F1072" s="179"/>
      <c r="G1072" s="179"/>
      <c r="H1072" s="179"/>
      <c r="I1072" s="181"/>
      <c r="J1072" s="179"/>
      <c r="K1072" s="179"/>
      <c r="L1072" s="182"/>
      <c r="M1072" s="182"/>
      <c r="N1072" s="179"/>
      <c r="O1072" s="179"/>
      <c r="P1072" s="179"/>
      <c r="Q1072" s="179"/>
      <c r="R1072" s="179"/>
      <c r="S1072" s="179"/>
      <c r="T1072" s="179"/>
      <c r="U1072" s="179"/>
      <c r="V1072" s="179"/>
      <c r="W1072" s="179"/>
      <c r="X1072" s="179"/>
      <c r="Y1072" s="132"/>
      <c r="Z1072" s="179"/>
      <c r="AA1072" s="179"/>
      <c r="AB1072" s="179"/>
      <c r="AC1072" s="179"/>
      <c r="AD1072" s="132"/>
      <c r="AE1072" s="179"/>
      <c r="AF1072" s="179"/>
    </row>
    <row r="1073" ht="12.75" customHeight="1" spans="1:32" x14ac:dyDescent="0.25">
      <c r="A1073" s="179"/>
      <c r="B1073" s="179"/>
      <c r="C1073" s="179"/>
      <c r="D1073" s="179"/>
      <c r="E1073" s="179"/>
      <c r="F1073" s="179"/>
      <c r="G1073" s="179"/>
      <c r="H1073" s="179"/>
      <c r="I1073" s="181"/>
      <c r="J1073" s="179"/>
      <c r="K1073" s="179"/>
      <c r="L1073" s="182"/>
      <c r="M1073" s="182"/>
      <c r="N1073" s="179"/>
      <c r="O1073" s="179"/>
      <c r="P1073" s="179"/>
      <c r="Q1073" s="179"/>
      <c r="R1073" s="179"/>
      <c r="S1073" s="179"/>
      <c r="T1073" s="179"/>
      <c r="U1073" s="179"/>
      <c r="V1073" s="179"/>
      <c r="W1073" s="179"/>
      <c r="X1073" s="179"/>
      <c r="Y1073" s="132"/>
      <c r="Z1073" s="179"/>
      <c r="AA1073" s="179"/>
      <c r="AB1073" s="179"/>
      <c r="AC1073" s="179"/>
      <c r="AD1073" s="132"/>
      <c r="AE1073" s="179"/>
      <c r="AF1073" s="179"/>
    </row>
    <row r="1074" ht="12.75" customHeight="1" spans="1:32" x14ac:dyDescent="0.25">
      <c r="A1074" s="179"/>
      <c r="B1074" s="179"/>
      <c r="C1074" s="179"/>
      <c r="D1074" s="179"/>
      <c r="E1074" s="179"/>
      <c r="F1074" s="179"/>
      <c r="G1074" s="179"/>
      <c r="H1074" s="179"/>
      <c r="I1074" s="181"/>
      <c r="J1074" s="179"/>
      <c r="K1074" s="179"/>
      <c r="L1074" s="182"/>
      <c r="M1074" s="182"/>
      <c r="N1074" s="179"/>
      <c r="O1074" s="179"/>
      <c r="P1074" s="179"/>
      <c r="Q1074" s="179"/>
      <c r="R1074" s="179"/>
      <c r="S1074" s="179"/>
      <c r="T1074" s="179"/>
      <c r="U1074" s="179"/>
      <c r="V1074" s="179"/>
      <c r="W1074" s="179"/>
      <c r="X1074" s="179"/>
      <c r="Y1074" s="132"/>
      <c r="Z1074" s="179"/>
      <c r="AA1074" s="179"/>
      <c r="AB1074" s="179"/>
      <c r="AC1074" s="179"/>
      <c r="AD1074" s="132"/>
      <c r="AE1074" s="179"/>
      <c r="AF1074" s="179"/>
    </row>
    <row r="1075" ht="12.75" customHeight="1" spans="1:32" x14ac:dyDescent="0.25">
      <c r="A1075" s="179"/>
      <c r="B1075" s="179"/>
      <c r="C1075" s="179"/>
      <c r="D1075" s="179"/>
      <c r="E1075" s="179"/>
      <c r="F1075" s="179"/>
      <c r="G1075" s="179"/>
      <c r="H1075" s="179"/>
      <c r="I1075" s="181"/>
      <c r="J1075" s="179"/>
      <c r="K1075" s="179"/>
      <c r="L1075" s="182"/>
      <c r="M1075" s="182"/>
      <c r="N1075" s="179"/>
      <c r="O1075" s="179"/>
      <c r="P1075" s="179"/>
      <c r="Q1075" s="179"/>
      <c r="R1075" s="179"/>
      <c r="S1075" s="179"/>
      <c r="T1075" s="179"/>
      <c r="U1075" s="179"/>
      <c r="V1075" s="179"/>
      <c r="W1075" s="179"/>
      <c r="X1075" s="179"/>
      <c r="Y1075" s="132"/>
      <c r="Z1075" s="179"/>
      <c r="AA1075" s="179"/>
      <c r="AB1075" s="179"/>
      <c r="AC1075" s="179"/>
      <c r="AD1075" s="132"/>
      <c r="AE1075" s="179"/>
      <c r="AF1075" s="179"/>
    </row>
    <row r="1076" ht="12.75" customHeight="1" spans="1:32" x14ac:dyDescent="0.25">
      <c r="A1076" s="179"/>
      <c r="B1076" s="179"/>
      <c r="C1076" s="179"/>
      <c r="D1076" s="179"/>
      <c r="E1076" s="179"/>
      <c r="F1076" s="179"/>
      <c r="G1076" s="179"/>
      <c r="H1076" s="179"/>
      <c r="I1076" s="181"/>
      <c r="J1076" s="179"/>
      <c r="K1076" s="179"/>
      <c r="L1076" s="182"/>
      <c r="M1076" s="182"/>
      <c r="N1076" s="179"/>
      <c r="O1076" s="179"/>
      <c r="P1076" s="179"/>
      <c r="Q1076" s="179"/>
      <c r="R1076" s="179"/>
      <c r="S1076" s="179"/>
      <c r="T1076" s="179"/>
      <c r="U1076" s="179"/>
      <c r="V1076" s="179"/>
      <c r="W1076" s="179"/>
      <c r="X1076" s="179"/>
      <c r="Y1076" s="132"/>
      <c r="Z1076" s="179"/>
      <c r="AA1076" s="179"/>
      <c r="AB1076" s="179"/>
      <c r="AC1076" s="179"/>
      <c r="AD1076" s="132"/>
      <c r="AE1076" s="179"/>
      <c r="AF1076" s="179"/>
    </row>
    <row r="1077" ht="12.75" customHeight="1" spans="1:32" x14ac:dyDescent="0.25">
      <c r="A1077" s="179"/>
      <c r="B1077" s="179"/>
      <c r="C1077" s="179"/>
      <c r="D1077" s="179"/>
      <c r="E1077" s="179"/>
      <c r="F1077" s="179"/>
      <c r="G1077" s="179"/>
      <c r="H1077" s="179"/>
      <c r="I1077" s="181"/>
      <c r="J1077" s="179"/>
      <c r="K1077" s="179"/>
      <c r="L1077" s="182"/>
      <c r="M1077" s="182"/>
      <c r="N1077" s="179"/>
      <c r="O1077" s="179"/>
      <c r="P1077" s="179"/>
      <c r="Q1077" s="179"/>
      <c r="R1077" s="179"/>
      <c r="S1077" s="179"/>
      <c r="T1077" s="179"/>
      <c r="U1077" s="179"/>
      <c r="V1077" s="179"/>
      <c r="W1077" s="179"/>
      <c r="X1077" s="179"/>
      <c r="Y1077" s="132"/>
      <c r="Z1077" s="179"/>
      <c r="AA1077" s="179"/>
      <c r="AB1077" s="179"/>
      <c r="AC1077" s="179"/>
      <c r="AD1077" s="132"/>
      <c r="AE1077" s="179"/>
      <c r="AF1077" s="179"/>
    </row>
    <row r="1078" ht="12.75" customHeight="1" spans="1:32" x14ac:dyDescent="0.25">
      <c r="A1078" s="179"/>
      <c r="B1078" s="179"/>
      <c r="C1078" s="179"/>
      <c r="D1078" s="179"/>
      <c r="E1078" s="179"/>
      <c r="F1078" s="179"/>
      <c r="G1078" s="179"/>
      <c r="H1078" s="179"/>
      <c r="I1078" s="181"/>
      <c r="J1078" s="179"/>
      <c r="K1078" s="179"/>
      <c r="L1078" s="182"/>
      <c r="M1078" s="182"/>
      <c r="N1078" s="179"/>
      <c r="O1078" s="179"/>
      <c r="P1078" s="179"/>
      <c r="Q1078" s="179"/>
      <c r="R1078" s="179"/>
      <c r="S1078" s="179"/>
      <c r="T1078" s="179"/>
      <c r="U1078" s="179"/>
      <c r="V1078" s="179"/>
      <c r="W1078" s="179"/>
      <c r="X1078" s="179"/>
      <c r="Y1078" s="132"/>
      <c r="Z1078" s="179"/>
      <c r="AA1078" s="179"/>
      <c r="AB1078" s="179"/>
      <c r="AC1078" s="179"/>
      <c r="AD1078" s="132"/>
      <c r="AE1078" s="179"/>
      <c r="AF1078" s="179"/>
    </row>
    <row r="1079" ht="12.75" customHeight="1" spans="1:32" x14ac:dyDescent="0.25">
      <c r="A1079" s="179"/>
      <c r="B1079" s="179"/>
      <c r="C1079" s="179"/>
      <c r="D1079" s="179"/>
      <c r="E1079" s="179"/>
      <c r="F1079" s="179"/>
      <c r="G1079" s="179"/>
      <c r="H1079" s="179"/>
      <c r="I1079" s="181"/>
      <c r="J1079" s="179"/>
      <c r="K1079" s="179"/>
      <c r="L1079" s="182"/>
      <c r="M1079" s="182"/>
      <c r="N1079" s="179"/>
      <c r="O1079" s="179"/>
      <c r="P1079" s="179"/>
      <c r="Q1079" s="179"/>
      <c r="R1079" s="179"/>
      <c r="S1079" s="179"/>
      <c r="T1079" s="179"/>
      <c r="U1079" s="179"/>
      <c r="V1079" s="179"/>
      <c r="W1079" s="179"/>
      <c r="X1079" s="179"/>
      <c r="Y1079" s="132"/>
      <c r="Z1079" s="179"/>
      <c r="AA1079" s="179"/>
      <c r="AB1079" s="179"/>
      <c r="AC1079" s="179"/>
      <c r="AD1079" s="132"/>
      <c r="AE1079" s="179"/>
      <c r="AF1079" s="179"/>
    </row>
    <row r="1080" ht="12.75" customHeight="1" spans="1:32" x14ac:dyDescent="0.25">
      <c r="A1080" s="179"/>
      <c r="B1080" s="179"/>
      <c r="C1080" s="179"/>
      <c r="D1080" s="179"/>
      <c r="E1080" s="179"/>
      <c r="F1080" s="179"/>
      <c r="G1080" s="179"/>
      <c r="H1080" s="179"/>
      <c r="I1080" s="181"/>
      <c r="J1080" s="179"/>
      <c r="K1080" s="179"/>
      <c r="L1080" s="182"/>
      <c r="M1080" s="182"/>
      <c r="N1080" s="179"/>
      <c r="O1080" s="179"/>
      <c r="P1080" s="179"/>
      <c r="Q1080" s="179"/>
      <c r="R1080" s="179"/>
      <c r="S1080" s="179"/>
      <c r="T1080" s="179"/>
      <c r="U1080" s="179"/>
      <c r="V1080" s="179"/>
      <c r="W1080" s="179"/>
      <c r="X1080" s="179"/>
      <c r="Y1080" s="132"/>
      <c r="Z1080" s="179"/>
      <c r="AA1080" s="179"/>
      <c r="AB1080" s="179"/>
      <c r="AC1080" s="179"/>
      <c r="AD1080" s="132"/>
      <c r="AE1080" s="179"/>
      <c r="AF1080" s="179"/>
    </row>
    <row r="1081" ht="12.75" customHeight="1" spans="1:32" x14ac:dyDescent="0.25">
      <c r="A1081" s="179"/>
      <c r="B1081" s="179"/>
      <c r="C1081" s="179"/>
      <c r="D1081" s="179"/>
      <c r="E1081" s="179"/>
      <c r="F1081" s="179"/>
      <c r="G1081" s="179"/>
      <c r="H1081" s="179"/>
      <c r="I1081" s="181"/>
      <c r="J1081" s="179"/>
      <c r="K1081" s="179"/>
      <c r="L1081" s="182"/>
      <c r="M1081" s="182"/>
      <c r="N1081" s="179"/>
      <c r="O1081" s="179"/>
      <c r="P1081" s="179"/>
      <c r="Q1081" s="179"/>
      <c r="R1081" s="179"/>
      <c r="S1081" s="179"/>
      <c r="T1081" s="179"/>
      <c r="U1081" s="179"/>
      <c r="V1081" s="179"/>
      <c r="W1081" s="179"/>
      <c r="X1081" s="179"/>
      <c r="Y1081" s="132"/>
      <c r="Z1081" s="179"/>
      <c r="AA1081" s="179"/>
      <c r="AB1081" s="179"/>
      <c r="AC1081" s="179"/>
      <c r="AD1081" s="132"/>
      <c r="AE1081" s="179"/>
      <c r="AF1081" s="179"/>
    </row>
    <row r="1082" ht="12.75" customHeight="1" spans="1:32" x14ac:dyDescent="0.25">
      <c r="A1082" s="179"/>
      <c r="B1082" s="179"/>
      <c r="C1082" s="179"/>
      <c r="D1082" s="179"/>
      <c r="E1082" s="179"/>
      <c r="F1082" s="179"/>
      <c r="G1082" s="179"/>
      <c r="H1082" s="179"/>
      <c r="I1082" s="181"/>
      <c r="J1082" s="179"/>
      <c r="K1082" s="179"/>
      <c r="L1082" s="182"/>
      <c r="M1082" s="182"/>
      <c r="N1082" s="179"/>
      <c r="O1082" s="179"/>
      <c r="P1082" s="179"/>
      <c r="Q1082" s="179"/>
      <c r="R1082" s="179"/>
      <c r="S1082" s="179"/>
      <c r="T1082" s="179"/>
      <c r="U1082" s="179"/>
      <c r="V1082" s="179"/>
      <c r="W1082" s="179"/>
      <c r="X1082" s="179"/>
      <c r="Y1082" s="132"/>
      <c r="Z1082" s="179"/>
      <c r="AA1082" s="179"/>
      <c r="AB1082" s="179"/>
      <c r="AC1082" s="179"/>
      <c r="AD1082" s="132"/>
      <c r="AE1082" s="179"/>
      <c r="AF1082" s="179"/>
    </row>
    <row r="1083" ht="12.75" customHeight="1" spans="1:32" x14ac:dyDescent="0.25">
      <c r="A1083" s="179"/>
      <c r="B1083" s="179"/>
      <c r="C1083" s="179"/>
      <c r="D1083" s="179"/>
      <c r="E1083" s="179"/>
      <c r="F1083" s="179"/>
      <c r="G1083" s="179"/>
      <c r="H1083" s="179"/>
      <c r="I1083" s="181"/>
      <c r="J1083" s="179"/>
      <c r="K1083" s="179"/>
      <c r="L1083" s="182"/>
      <c r="M1083" s="182"/>
      <c r="N1083" s="179"/>
      <c r="O1083" s="179"/>
      <c r="P1083" s="179"/>
      <c r="Q1083" s="179"/>
      <c r="R1083" s="179"/>
      <c r="S1083" s="179"/>
      <c r="T1083" s="179"/>
      <c r="U1083" s="179"/>
      <c r="V1083" s="179"/>
      <c r="W1083" s="179"/>
      <c r="X1083" s="179"/>
      <c r="Y1083" s="132"/>
      <c r="Z1083" s="179"/>
      <c r="AA1083" s="179"/>
      <c r="AB1083" s="179"/>
      <c r="AC1083" s="179"/>
      <c r="AD1083" s="132"/>
      <c r="AE1083" s="179"/>
      <c r="AF1083" s="179"/>
    </row>
    <row r="1084" ht="12.75" customHeight="1" spans="1:32" x14ac:dyDescent="0.25">
      <c r="A1084" s="179"/>
      <c r="B1084" s="179"/>
      <c r="C1084" s="179"/>
      <c r="D1084" s="179"/>
      <c r="E1084" s="179"/>
      <c r="F1084" s="179"/>
      <c r="G1084" s="179"/>
      <c r="H1084" s="179"/>
      <c r="I1084" s="181"/>
      <c r="J1084" s="179"/>
      <c r="K1084" s="179"/>
      <c r="L1084" s="182"/>
      <c r="M1084" s="182"/>
      <c r="N1084" s="179"/>
      <c r="O1084" s="179"/>
      <c r="P1084" s="179"/>
      <c r="Q1084" s="179"/>
      <c r="R1084" s="179"/>
      <c r="S1084" s="179"/>
      <c r="T1084" s="179"/>
      <c r="U1084" s="179"/>
      <c r="V1084" s="179"/>
      <c r="W1084" s="179"/>
      <c r="X1084" s="179"/>
      <c r="Y1084" s="132"/>
      <c r="Z1084" s="179"/>
      <c r="AA1084" s="179"/>
      <c r="AB1084" s="179"/>
      <c r="AC1084" s="179"/>
      <c r="AD1084" s="132"/>
      <c r="AE1084" s="179"/>
      <c r="AF1084" s="179"/>
    </row>
    <row r="1085" ht="12.75" customHeight="1" spans="1:32" x14ac:dyDescent="0.25">
      <c r="A1085" s="179"/>
      <c r="B1085" s="179"/>
      <c r="C1085" s="179"/>
      <c r="D1085" s="179"/>
      <c r="E1085" s="179"/>
      <c r="F1085" s="179"/>
      <c r="G1085" s="179"/>
      <c r="H1085" s="179"/>
      <c r="I1085" s="181"/>
      <c r="J1085" s="179"/>
      <c r="K1085" s="179"/>
      <c r="L1085" s="182"/>
      <c r="M1085" s="182"/>
      <c r="N1085" s="179"/>
      <c r="O1085" s="179"/>
      <c r="P1085" s="179"/>
      <c r="Q1085" s="179"/>
      <c r="R1085" s="179"/>
      <c r="S1085" s="179"/>
      <c r="T1085" s="179"/>
      <c r="U1085" s="179"/>
      <c r="V1085" s="179"/>
      <c r="W1085" s="179"/>
      <c r="X1085" s="179"/>
      <c r="Y1085" s="132"/>
      <c r="Z1085" s="179"/>
      <c r="AA1085" s="179"/>
      <c r="AB1085" s="179"/>
      <c r="AC1085" s="179"/>
      <c r="AD1085" s="132"/>
      <c r="AE1085" s="179"/>
      <c r="AF1085" s="179"/>
    </row>
    <row r="1086" ht="12.75" customHeight="1" spans="1:32" x14ac:dyDescent="0.25">
      <c r="A1086" s="179"/>
      <c r="B1086" s="179"/>
      <c r="C1086" s="179"/>
      <c r="D1086" s="179"/>
      <c r="E1086" s="179"/>
      <c r="F1086" s="179"/>
      <c r="G1086" s="179"/>
      <c r="H1086" s="179"/>
      <c r="I1086" s="181"/>
      <c r="J1086" s="179"/>
      <c r="K1086" s="179"/>
      <c r="L1086" s="182"/>
      <c r="M1086" s="182"/>
      <c r="N1086" s="179"/>
      <c r="O1086" s="179"/>
      <c r="P1086" s="179"/>
      <c r="Q1086" s="179"/>
      <c r="R1086" s="179"/>
      <c r="S1086" s="179"/>
      <c r="T1086" s="179"/>
      <c r="U1086" s="179"/>
      <c r="V1086" s="179"/>
      <c r="W1086" s="179"/>
      <c r="X1086" s="179"/>
      <c r="Y1086" s="132"/>
      <c r="Z1086" s="179"/>
      <c r="AA1086" s="179"/>
      <c r="AB1086" s="179"/>
      <c r="AC1086" s="179"/>
      <c r="AD1086" s="132"/>
      <c r="AE1086" s="179"/>
      <c r="AF1086" s="179"/>
    </row>
    <row r="1087" ht="12.75" customHeight="1" spans="1:32" x14ac:dyDescent="0.25">
      <c r="A1087" s="179"/>
      <c r="B1087" s="179"/>
      <c r="C1087" s="179"/>
      <c r="D1087" s="179"/>
      <c r="E1087" s="179"/>
      <c r="F1087" s="179"/>
      <c r="G1087" s="179"/>
      <c r="H1087" s="179"/>
      <c r="I1087" s="181"/>
      <c r="J1087" s="179"/>
      <c r="K1087" s="179"/>
      <c r="L1087" s="182"/>
      <c r="M1087" s="182"/>
      <c r="N1087" s="179"/>
      <c r="O1087" s="179"/>
      <c r="P1087" s="179"/>
      <c r="Q1087" s="179"/>
      <c r="R1087" s="179"/>
      <c r="S1087" s="179"/>
      <c r="T1087" s="179"/>
      <c r="U1087" s="179"/>
      <c r="V1087" s="179"/>
      <c r="W1087" s="179"/>
      <c r="X1087" s="179"/>
      <c r="Y1087" s="132"/>
      <c r="Z1087" s="179"/>
      <c r="AA1087" s="179"/>
      <c r="AB1087" s="179"/>
      <c r="AC1087" s="179"/>
      <c r="AD1087" s="132"/>
      <c r="AE1087" s="179"/>
      <c r="AF1087" s="179"/>
    </row>
    <row r="1088" ht="12.75" customHeight="1" spans="1:32" x14ac:dyDescent="0.25">
      <c r="A1088" s="179"/>
      <c r="B1088" s="179"/>
      <c r="C1088" s="179"/>
      <c r="D1088" s="179"/>
      <c r="E1088" s="179"/>
      <c r="F1088" s="179"/>
      <c r="G1088" s="179"/>
      <c r="H1088" s="179"/>
      <c r="I1088" s="181"/>
      <c r="J1088" s="179"/>
      <c r="K1088" s="179"/>
      <c r="L1088" s="182"/>
      <c r="M1088" s="182"/>
      <c r="N1088" s="179"/>
      <c r="O1088" s="179"/>
      <c r="P1088" s="179"/>
      <c r="Q1088" s="179"/>
      <c r="R1088" s="179"/>
      <c r="S1088" s="179"/>
      <c r="T1088" s="179"/>
      <c r="U1088" s="179"/>
      <c r="V1088" s="179"/>
      <c r="W1088" s="179"/>
      <c r="X1088" s="179"/>
      <c r="Y1088" s="132"/>
      <c r="Z1088" s="179"/>
      <c r="AA1088" s="179"/>
      <c r="AB1088" s="179"/>
      <c r="AC1088" s="179"/>
      <c r="AD1088" s="132"/>
      <c r="AE1088" s="179"/>
      <c r="AF1088" s="179"/>
    </row>
    <row r="1089" ht="12.75" customHeight="1" spans="1:32" x14ac:dyDescent="0.25">
      <c r="A1089" s="179"/>
      <c r="B1089" s="179"/>
      <c r="C1089" s="179"/>
      <c r="D1089" s="179"/>
      <c r="E1089" s="179"/>
      <c r="F1089" s="179"/>
      <c r="G1089" s="179"/>
      <c r="H1089" s="179"/>
      <c r="I1089" s="181"/>
      <c r="J1089" s="179"/>
      <c r="K1089" s="179"/>
      <c r="L1089" s="182"/>
      <c r="M1089" s="182"/>
      <c r="N1089" s="179"/>
      <c r="O1089" s="179"/>
      <c r="P1089" s="179"/>
      <c r="Q1089" s="179"/>
      <c r="R1089" s="179"/>
      <c r="S1089" s="179"/>
      <c r="T1089" s="179"/>
      <c r="U1089" s="179"/>
      <c r="V1089" s="179"/>
      <c r="W1089" s="179"/>
      <c r="X1089" s="179"/>
      <c r="Y1089" s="132"/>
      <c r="Z1089" s="179"/>
      <c r="AA1089" s="179"/>
      <c r="AB1089" s="179"/>
      <c r="AC1089" s="179"/>
      <c r="AD1089" s="132"/>
      <c r="AE1089" s="179"/>
      <c r="AF1089" s="179"/>
    </row>
    <row r="1090" ht="12.75" customHeight="1" spans="1:32" x14ac:dyDescent="0.25">
      <c r="A1090" s="179"/>
      <c r="B1090" s="179"/>
      <c r="C1090" s="179"/>
      <c r="D1090" s="179"/>
      <c r="E1090" s="179"/>
      <c r="F1090" s="179"/>
      <c r="G1090" s="179"/>
      <c r="H1090" s="179"/>
      <c r="I1090" s="181"/>
      <c r="J1090" s="179"/>
      <c r="K1090" s="179"/>
      <c r="L1090" s="182"/>
      <c r="M1090" s="182"/>
      <c r="N1090" s="179"/>
      <c r="O1090" s="179"/>
      <c r="P1090" s="179"/>
      <c r="Q1090" s="179"/>
      <c r="R1090" s="179"/>
      <c r="S1090" s="179"/>
      <c r="T1090" s="179"/>
      <c r="U1090" s="179"/>
      <c r="V1090" s="179"/>
      <c r="W1090" s="179"/>
      <c r="X1090" s="179"/>
      <c r="Y1090" s="132"/>
      <c r="Z1090" s="179"/>
      <c r="AA1090" s="179"/>
      <c r="AB1090" s="179"/>
      <c r="AC1090" s="179"/>
      <c r="AD1090" s="132"/>
      <c r="AE1090" s="179"/>
      <c r="AF1090" s="179"/>
    </row>
    <row r="1091" ht="12.75" customHeight="1" spans="1:32" x14ac:dyDescent="0.25">
      <c r="A1091" s="179"/>
      <c r="B1091" s="179"/>
      <c r="C1091" s="179"/>
      <c r="D1091" s="179"/>
      <c r="E1091" s="179"/>
      <c r="F1091" s="179"/>
      <c r="G1091" s="179"/>
      <c r="H1091" s="179"/>
      <c r="I1091" s="181"/>
      <c r="J1091" s="179"/>
      <c r="K1091" s="179"/>
      <c r="L1091" s="182"/>
      <c r="M1091" s="182"/>
      <c r="N1091" s="179"/>
      <c r="O1091" s="179"/>
      <c r="P1091" s="179"/>
      <c r="Q1091" s="179"/>
      <c r="R1091" s="179"/>
      <c r="S1091" s="179"/>
      <c r="T1091" s="179"/>
      <c r="U1091" s="179"/>
      <c r="V1091" s="179"/>
      <c r="W1091" s="179"/>
      <c r="X1091" s="179"/>
      <c r="Y1091" s="132"/>
      <c r="Z1091" s="179"/>
      <c r="AA1091" s="179"/>
      <c r="AB1091" s="179"/>
      <c r="AC1091" s="179"/>
      <c r="AD1091" s="132"/>
      <c r="AE1091" s="179"/>
      <c r="AF1091" s="179"/>
    </row>
    <row r="1092" ht="12.75" customHeight="1" spans="1:32" x14ac:dyDescent="0.25">
      <c r="A1092" s="179"/>
      <c r="B1092" s="179"/>
      <c r="C1092" s="179"/>
      <c r="D1092" s="179"/>
      <c r="E1092" s="179"/>
      <c r="F1092" s="179"/>
      <c r="G1092" s="179"/>
      <c r="H1092" s="179"/>
      <c r="I1092" s="181"/>
      <c r="J1092" s="179"/>
      <c r="K1092" s="179"/>
      <c r="L1092" s="182"/>
      <c r="M1092" s="182"/>
      <c r="N1092" s="179"/>
      <c r="O1092" s="179"/>
      <c r="P1092" s="179"/>
      <c r="Q1092" s="179"/>
      <c r="R1092" s="179"/>
      <c r="S1092" s="179"/>
      <c r="T1092" s="179"/>
      <c r="U1092" s="179"/>
      <c r="V1092" s="179"/>
      <c r="W1092" s="179"/>
      <c r="X1092" s="179"/>
      <c r="Y1092" s="132"/>
      <c r="Z1092" s="179"/>
      <c r="AA1092" s="179"/>
      <c r="AB1092" s="179"/>
      <c r="AC1092" s="179"/>
      <c r="AD1092" s="132"/>
      <c r="AE1092" s="179"/>
      <c r="AF1092" s="179"/>
    </row>
    <row r="1093" ht="12.75" customHeight="1" spans="1:32" x14ac:dyDescent="0.25">
      <c r="A1093" s="179"/>
      <c r="B1093" s="179"/>
      <c r="C1093" s="179"/>
      <c r="D1093" s="179"/>
      <c r="E1093" s="179"/>
      <c r="F1093" s="179"/>
      <c r="G1093" s="179"/>
      <c r="H1093" s="179"/>
      <c r="I1093" s="181"/>
      <c r="J1093" s="179"/>
      <c r="K1093" s="179"/>
      <c r="L1093" s="182"/>
      <c r="M1093" s="182"/>
      <c r="N1093" s="179"/>
      <c r="O1093" s="179"/>
      <c r="P1093" s="179"/>
      <c r="Q1093" s="179"/>
      <c r="R1093" s="179"/>
      <c r="S1093" s="179"/>
      <c r="T1093" s="179"/>
      <c r="U1093" s="179"/>
      <c r="V1093" s="179"/>
      <c r="W1093" s="179"/>
      <c r="X1093" s="179"/>
      <c r="Y1093" s="132"/>
      <c r="Z1093" s="179"/>
      <c r="AA1093" s="179"/>
      <c r="AB1093" s="179"/>
      <c r="AC1093" s="179"/>
      <c r="AD1093" s="132"/>
      <c r="AE1093" s="179"/>
      <c r="AF1093" s="179"/>
    </row>
    <row r="1094" ht="12.75" customHeight="1" spans="1:32" x14ac:dyDescent="0.25">
      <c r="A1094" s="179"/>
      <c r="B1094" s="179"/>
      <c r="C1094" s="179"/>
      <c r="D1094" s="179"/>
      <c r="E1094" s="179"/>
      <c r="F1094" s="179"/>
      <c r="G1094" s="179"/>
      <c r="H1094" s="179"/>
      <c r="I1094" s="181"/>
      <c r="J1094" s="179"/>
      <c r="K1094" s="179"/>
      <c r="L1094" s="182"/>
      <c r="M1094" s="182"/>
      <c r="N1094" s="179"/>
      <c r="O1094" s="179"/>
      <c r="P1094" s="179"/>
      <c r="Q1094" s="179"/>
      <c r="R1094" s="179"/>
      <c r="S1094" s="179"/>
      <c r="T1094" s="179"/>
      <c r="U1094" s="179"/>
      <c r="V1094" s="179"/>
      <c r="W1094" s="179"/>
      <c r="X1094" s="179"/>
      <c r="Y1094" s="132"/>
      <c r="Z1094" s="179"/>
      <c r="AA1094" s="179"/>
      <c r="AB1094" s="179"/>
      <c r="AC1094" s="179"/>
      <c r="AD1094" s="132"/>
      <c r="AE1094" s="179"/>
      <c r="AF1094" s="179"/>
    </row>
    <row r="1095" ht="12.75" customHeight="1" spans="1:32" x14ac:dyDescent="0.25">
      <c r="A1095" s="179"/>
      <c r="B1095" s="179"/>
      <c r="C1095" s="179"/>
      <c r="D1095" s="179"/>
      <c r="E1095" s="179"/>
      <c r="F1095" s="179"/>
      <c r="G1095" s="179"/>
      <c r="H1095" s="179"/>
      <c r="I1095" s="181"/>
      <c r="J1095" s="179"/>
      <c r="K1095" s="179"/>
      <c r="L1095" s="182"/>
      <c r="M1095" s="182"/>
      <c r="N1095" s="179"/>
      <c r="O1095" s="179"/>
      <c r="P1095" s="179"/>
      <c r="Q1095" s="179"/>
      <c r="R1095" s="179"/>
      <c r="S1095" s="179"/>
      <c r="T1095" s="179"/>
      <c r="U1095" s="179"/>
      <c r="V1095" s="179"/>
      <c r="W1095" s="179"/>
      <c r="X1095" s="179"/>
      <c r="Y1095" s="132"/>
      <c r="Z1095" s="179"/>
      <c r="AA1095" s="179"/>
      <c r="AB1095" s="179"/>
      <c r="AC1095" s="179"/>
      <c r="AD1095" s="132"/>
      <c r="AE1095" s="179"/>
      <c r="AF1095" s="179"/>
    </row>
    <row r="1096" ht="12.75" customHeight="1" spans="1:32" x14ac:dyDescent="0.25">
      <c r="A1096" s="179"/>
      <c r="B1096" s="179"/>
      <c r="C1096" s="179"/>
      <c r="D1096" s="179"/>
      <c r="E1096" s="179"/>
      <c r="F1096" s="179"/>
      <c r="G1096" s="179"/>
      <c r="H1096" s="179"/>
      <c r="I1096" s="181"/>
      <c r="J1096" s="179"/>
      <c r="K1096" s="179"/>
      <c r="L1096" s="182"/>
      <c r="M1096" s="182"/>
      <c r="N1096" s="179"/>
      <c r="O1096" s="179"/>
      <c r="P1096" s="179"/>
      <c r="Q1096" s="179"/>
      <c r="R1096" s="179"/>
      <c r="S1096" s="179"/>
      <c r="T1096" s="179"/>
      <c r="U1096" s="179"/>
      <c r="V1096" s="179"/>
      <c r="W1096" s="179"/>
      <c r="X1096" s="179"/>
      <c r="Y1096" s="132"/>
      <c r="Z1096" s="179"/>
      <c r="AA1096" s="179"/>
      <c r="AB1096" s="179"/>
      <c r="AC1096" s="179"/>
      <c r="AD1096" s="132"/>
      <c r="AE1096" s="179"/>
      <c r="AF1096" s="179"/>
    </row>
    <row r="1097" ht="12.75" customHeight="1" spans="1:32" x14ac:dyDescent="0.25">
      <c r="A1097" s="179"/>
      <c r="B1097" s="179"/>
      <c r="C1097" s="179"/>
      <c r="D1097" s="179"/>
      <c r="E1097" s="179"/>
      <c r="F1097" s="179"/>
      <c r="G1097" s="179"/>
      <c r="H1097" s="179"/>
      <c r="I1097" s="181"/>
      <c r="J1097" s="179"/>
      <c r="K1097" s="179"/>
      <c r="L1097" s="182"/>
      <c r="M1097" s="182"/>
      <c r="N1097" s="179"/>
      <c r="O1097" s="179"/>
      <c r="P1097" s="179"/>
      <c r="Q1097" s="179"/>
      <c r="R1097" s="179"/>
      <c r="S1097" s="179"/>
      <c r="T1097" s="179"/>
      <c r="U1097" s="179"/>
      <c r="V1097" s="179"/>
      <c r="W1097" s="179"/>
      <c r="X1097" s="179"/>
      <c r="Y1097" s="132"/>
      <c r="Z1097" s="179"/>
      <c r="AA1097" s="179"/>
      <c r="AB1097" s="179"/>
      <c r="AC1097" s="179"/>
      <c r="AD1097" s="132"/>
      <c r="AE1097" s="179"/>
      <c r="AF1097" s="179"/>
    </row>
    <row r="1098" ht="12.75" customHeight="1" spans="1:32" x14ac:dyDescent="0.25">
      <c r="A1098" s="179"/>
      <c r="B1098" s="179"/>
      <c r="C1098" s="179"/>
      <c r="D1098" s="179"/>
      <c r="E1098" s="179"/>
      <c r="F1098" s="179"/>
      <c r="G1098" s="179"/>
      <c r="H1098" s="179"/>
      <c r="I1098" s="181"/>
      <c r="J1098" s="179"/>
      <c r="K1098" s="179"/>
      <c r="L1098" s="182"/>
      <c r="M1098" s="182"/>
      <c r="N1098" s="179"/>
      <c r="O1098" s="179"/>
      <c r="P1098" s="179"/>
      <c r="Q1098" s="179"/>
      <c r="R1098" s="179"/>
      <c r="S1098" s="179"/>
      <c r="T1098" s="179"/>
      <c r="U1098" s="179"/>
      <c r="V1098" s="179"/>
      <c r="W1098" s="179"/>
      <c r="X1098" s="179"/>
      <c r="Y1098" s="132"/>
      <c r="Z1098" s="179"/>
      <c r="AA1098" s="179"/>
      <c r="AB1098" s="179"/>
      <c r="AC1098" s="179"/>
      <c r="AD1098" s="132"/>
      <c r="AE1098" s="179"/>
      <c r="AF1098" s="179"/>
    </row>
    <row r="1099" ht="12.75" customHeight="1" spans="1:32" x14ac:dyDescent="0.25">
      <c r="A1099" s="179"/>
      <c r="B1099" s="179"/>
      <c r="C1099" s="179"/>
      <c r="D1099" s="179"/>
      <c r="E1099" s="179"/>
      <c r="F1099" s="179"/>
      <c r="G1099" s="179"/>
      <c r="H1099" s="179"/>
      <c r="I1099" s="181"/>
      <c r="J1099" s="179"/>
      <c r="K1099" s="179"/>
      <c r="L1099" s="182"/>
      <c r="M1099" s="182"/>
      <c r="N1099" s="179"/>
      <c r="O1099" s="179"/>
      <c r="P1099" s="179"/>
      <c r="Q1099" s="179"/>
      <c r="R1099" s="179"/>
      <c r="S1099" s="179"/>
      <c r="T1099" s="179"/>
      <c r="U1099" s="179"/>
      <c r="V1099" s="179"/>
      <c r="W1099" s="179"/>
      <c r="X1099" s="179"/>
      <c r="Y1099" s="132"/>
      <c r="Z1099" s="179"/>
      <c r="AA1099" s="179"/>
      <c r="AB1099" s="179"/>
      <c r="AC1099" s="179"/>
      <c r="AD1099" s="132"/>
      <c r="AE1099" s="179"/>
      <c r="AF1099" s="179"/>
    </row>
    <row r="1100" ht="12.75" customHeight="1" spans="1:32" x14ac:dyDescent="0.25">
      <c r="A1100" s="179"/>
      <c r="B1100" s="179"/>
      <c r="C1100" s="179"/>
      <c r="D1100" s="179"/>
      <c r="E1100" s="179"/>
      <c r="F1100" s="179"/>
      <c r="G1100" s="179"/>
      <c r="H1100" s="179"/>
      <c r="I1100" s="181"/>
      <c r="J1100" s="179"/>
      <c r="K1100" s="179"/>
      <c r="L1100" s="182"/>
      <c r="M1100" s="182"/>
      <c r="N1100" s="179"/>
      <c r="O1100" s="179"/>
      <c r="P1100" s="179"/>
      <c r="Q1100" s="179"/>
      <c r="R1100" s="179"/>
      <c r="S1100" s="179"/>
      <c r="T1100" s="179"/>
      <c r="U1100" s="179"/>
      <c r="V1100" s="179"/>
      <c r="W1100" s="179"/>
      <c r="X1100" s="179"/>
      <c r="Y1100" s="132"/>
      <c r="Z1100" s="179"/>
      <c r="AA1100" s="179"/>
      <c r="AB1100" s="179"/>
      <c r="AC1100" s="179"/>
      <c r="AD1100" s="132"/>
      <c r="AE1100" s="179"/>
      <c r="AF1100" s="179"/>
    </row>
    <row r="1101" ht="12.75" customHeight="1" spans="1:32" x14ac:dyDescent="0.25">
      <c r="A1101" s="179"/>
      <c r="B1101" s="179"/>
      <c r="C1101" s="179"/>
      <c r="D1101" s="179"/>
      <c r="E1101" s="179"/>
      <c r="F1101" s="179"/>
      <c r="G1101" s="179"/>
      <c r="H1101" s="179"/>
      <c r="I1101" s="181"/>
      <c r="J1101" s="179"/>
      <c r="K1101" s="179"/>
      <c r="L1101" s="182"/>
      <c r="M1101" s="182"/>
      <c r="N1101" s="179"/>
      <c r="O1101" s="179"/>
      <c r="P1101" s="179"/>
      <c r="Q1101" s="179"/>
      <c r="R1101" s="179"/>
      <c r="S1101" s="179"/>
      <c r="T1101" s="179"/>
      <c r="U1101" s="179"/>
      <c r="V1101" s="179"/>
      <c r="W1101" s="179"/>
      <c r="X1101" s="179"/>
      <c r="Y1101" s="132"/>
      <c r="Z1101" s="179"/>
      <c r="AA1101" s="179"/>
      <c r="AB1101" s="179"/>
      <c r="AC1101" s="179"/>
      <c r="AD1101" s="132"/>
      <c r="AE1101" s="179"/>
      <c r="AF1101" s="179"/>
    </row>
    <row r="1102" ht="12.75" customHeight="1" spans="1:32" x14ac:dyDescent="0.25">
      <c r="A1102" s="179"/>
      <c r="B1102" s="179"/>
      <c r="C1102" s="179"/>
      <c r="D1102" s="179"/>
      <c r="E1102" s="179"/>
      <c r="F1102" s="179"/>
      <c r="G1102" s="179"/>
      <c r="H1102" s="179"/>
      <c r="I1102" s="181"/>
      <c r="J1102" s="179"/>
      <c r="K1102" s="179"/>
      <c r="L1102" s="182"/>
      <c r="M1102" s="182"/>
      <c r="N1102" s="179"/>
      <c r="O1102" s="179"/>
      <c r="P1102" s="179"/>
      <c r="Q1102" s="179"/>
      <c r="R1102" s="179"/>
      <c r="S1102" s="179"/>
      <c r="T1102" s="179"/>
      <c r="U1102" s="179"/>
      <c r="V1102" s="179"/>
      <c r="W1102" s="179"/>
      <c r="X1102" s="179"/>
      <c r="Y1102" s="132"/>
      <c r="Z1102" s="179"/>
      <c r="AA1102" s="179"/>
      <c r="AB1102" s="179"/>
      <c r="AC1102" s="179"/>
      <c r="AD1102" s="132"/>
      <c r="AE1102" s="179"/>
      <c r="AF1102" s="179"/>
    </row>
    <row r="1103" ht="12.75" customHeight="1" spans="1:32" x14ac:dyDescent="0.25">
      <c r="A1103" s="179"/>
      <c r="B1103" s="179"/>
      <c r="C1103" s="179"/>
      <c r="D1103" s="179"/>
      <c r="E1103" s="179"/>
      <c r="F1103" s="179"/>
      <c r="G1103" s="179"/>
      <c r="H1103" s="179"/>
      <c r="I1103" s="181"/>
      <c r="J1103" s="179"/>
      <c r="K1103" s="179"/>
      <c r="L1103" s="182"/>
      <c r="M1103" s="182"/>
      <c r="N1103" s="179"/>
      <c r="O1103" s="179"/>
      <c r="P1103" s="179"/>
      <c r="Q1103" s="179"/>
      <c r="R1103" s="179"/>
      <c r="S1103" s="179"/>
      <c r="T1103" s="179"/>
      <c r="U1103" s="179"/>
      <c r="V1103" s="179"/>
      <c r="W1103" s="179"/>
      <c r="X1103" s="179"/>
      <c r="Y1103" s="132"/>
      <c r="Z1103" s="179"/>
      <c r="AA1103" s="179"/>
      <c r="AB1103" s="179"/>
      <c r="AC1103" s="179"/>
      <c r="AD1103" s="132"/>
      <c r="AE1103" s="179"/>
      <c r="AF1103" s="179"/>
    </row>
    <row r="1104" ht="12.75" customHeight="1" spans="1:32" x14ac:dyDescent="0.25">
      <c r="A1104" s="179"/>
      <c r="B1104" s="179"/>
      <c r="C1104" s="179"/>
      <c r="D1104" s="179"/>
      <c r="E1104" s="179"/>
      <c r="F1104" s="179"/>
      <c r="G1104" s="179"/>
      <c r="H1104" s="179"/>
      <c r="I1104" s="181"/>
      <c r="J1104" s="179"/>
      <c r="K1104" s="179"/>
      <c r="L1104" s="182"/>
      <c r="M1104" s="182"/>
      <c r="N1104" s="179"/>
      <c r="O1104" s="179"/>
      <c r="P1104" s="179"/>
      <c r="Q1104" s="179"/>
      <c r="R1104" s="179"/>
      <c r="S1104" s="179"/>
      <c r="T1104" s="179"/>
      <c r="U1104" s="179"/>
      <c r="V1104" s="179"/>
      <c r="W1104" s="179"/>
      <c r="X1104" s="179"/>
      <c r="Y1104" s="132"/>
      <c r="Z1104" s="179"/>
      <c r="AA1104" s="179"/>
      <c r="AB1104" s="179"/>
      <c r="AC1104" s="179"/>
      <c r="AD1104" s="132"/>
      <c r="AE1104" s="179"/>
      <c r="AF1104" s="179"/>
    </row>
    <row r="1105" ht="12.75" customHeight="1" spans="1:32" x14ac:dyDescent="0.25">
      <c r="A1105" s="179"/>
      <c r="B1105" s="179"/>
      <c r="C1105" s="179"/>
      <c r="D1105" s="179"/>
      <c r="E1105" s="179"/>
      <c r="F1105" s="179"/>
      <c r="G1105" s="179"/>
      <c r="H1105" s="179"/>
      <c r="I1105" s="181"/>
      <c r="J1105" s="179"/>
      <c r="K1105" s="179"/>
      <c r="L1105" s="182"/>
      <c r="M1105" s="182"/>
      <c r="N1105" s="179"/>
      <c r="O1105" s="179"/>
      <c r="P1105" s="179"/>
      <c r="Q1105" s="179"/>
      <c r="R1105" s="179"/>
      <c r="S1105" s="179"/>
      <c r="T1105" s="179"/>
      <c r="U1105" s="179"/>
      <c r="V1105" s="179"/>
      <c r="W1105" s="179"/>
      <c r="X1105" s="179"/>
      <c r="Y1105" s="132"/>
      <c r="Z1105" s="179"/>
      <c r="AA1105" s="179"/>
      <c r="AB1105" s="179"/>
      <c r="AC1105" s="179"/>
      <c r="AD1105" s="132"/>
      <c r="AE1105" s="179"/>
      <c r="AF1105" s="179"/>
    </row>
    <row r="1106" ht="12.75" customHeight="1" spans="1:32" x14ac:dyDescent="0.25">
      <c r="A1106" s="179"/>
      <c r="B1106" s="179"/>
      <c r="C1106" s="179"/>
      <c r="D1106" s="179"/>
      <c r="E1106" s="179"/>
      <c r="F1106" s="179"/>
      <c r="G1106" s="179"/>
      <c r="H1106" s="179"/>
      <c r="I1106" s="181"/>
      <c r="J1106" s="179"/>
      <c r="K1106" s="179"/>
      <c r="L1106" s="182"/>
      <c r="M1106" s="182"/>
      <c r="N1106" s="179"/>
      <c r="O1106" s="179"/>
      <c r="P1106" s="179"/>
      <c r="Q1106" s="179"/>
      <c r="R1106" s="179"/>
      <c r="S1106" s="179"/>
      <c r="T1106" s="179"/>
      <c r="U1106" s="179"/>
      <c r="V1106" s="179"/>
      <c r="W1106" s="179"/>
      <c r="X1106" s="179"/>
      <c r="Y1106" s="132"/>
      <c r="Z1106" s="179"/>
      <c r="AA1106" s="179"/>
      <c r="AB1106" s="179"/>
      <c r="AC1106" s="179"/>
      <c r="AD1106" s="132"/>
      <c r="AE1106" s="179"/>
      <c r="AF1106" s="179"/>
    </row>
    <row r="1107" ht="12.75" customHeight="1" spans="1:32" x14ac:dyDescent="0.25">
      <c r="A1107" s="179"/>
      <c r="B1107" s="179"/>
      <c r="C1107" s="179"/>
      <c r="D1107" s="179"/>
      <c r="E1107" s="179"/>
      <c r="F1107" s="179"/>
      <c r="G1107" s="179"/>
      <c r="H1107" s="179"/>
      <c r="I1107" s="181"/>
      <c r="J1107" s="179"/>
      <c r="K1107" s="179"/>
      <c r="L1107" s="182"/>
      <c r="M1107" s="182"/>
      <c r="N1107" s="179"/>
      <c r="O1107" s="179"/>
      <c r="P1107" s="179"/>
      <c r="Q1107" s="179"/>
      <c r="R1107" s="179"/>
      <c r="S1107" s="179"/>
      <c r="T1107" s="179"/>
      <c r="U1107" s="179"/>
      <c r="V1107" s="179"/>
      <c r="W1107" s="179"/>
      <c r="X1107" s="179"/>
      <c r="Y1107" s="132"/>
      <c r="Z1107" s="179"/>
      <c r="AA1107" s="179"/>
      <c r="AB1107" s="179"/>
      <c r="AC1107" s="179"/>
      <c r="AD1107" s="132"/>
      <c r="AE1107" s="179"/>
      <c r="AF1107" s="179"/>
    </row>
    <row r="1108" ht="12.75" customHeight="1" spans="1:32" x14ac:dyDescent="0.25">
      <c r="A1108" s="179"/>
      <c r="B1108" s="179"/>
      <c r="C1108" s="179"/>
      <c r="D1108" s="179"/>
      <c r="E1108" s="179"/>
      <c r="F1108" s="179"/>
      <c r="G1108" s="179"/>
      <c r="H1108" s="179"/>
      <c r="I1108" s="181"/>
      <c r="J1108" s="179"/>
      <c r="K1108" s="179"/>
      <c r="L1108" s="182"/>
      <c r="M1108" s="182"/>
      <c r="N1108" s="179"/>
      <c r="O1108" s="179"/>
      <c r="P1108" s="179"/>
      <c r="Q1108" s="179"/>
      <c r="R1108" s="179"/>
      <c r="S1108" s="179"/>
      <c r="T1108" s="179"/>
      <c r="U1108" s="179"/>
      <c r="V1108" s="179"/>
      <c r="W1108" s="179"/>
      <c r="X1108" s="179"/>
      <c r="Y1108" s="132"/>
      <c r="Z1108" s="179"/>
      <c r="AA1108" s="179"/>
      <c r="AB1108" s="179"/>
      <c r="AC1108" s="179"/>
      <c r="AD1108" s="132"/>
      <c r="AE1108" s="179"/>
      <c r="AF1108" s="179"/>
    </row>
    <row r="1109" ht="12.75" customHeight="1" spans="1:32" x14ac:dyDescent="0.25">
      <c r="A1109" s="179"/>
      <c r="B1109" s="179"/>
      <c r="C1109" s="179"/>
      <c r="D1109" s="179"/>
      <c r="E1109" s="179"/>
      <c r="F1109" s="179"/>
      <c r="G1109" s="179"/>
      <c r="H1109" s="179"/>
      <c r="I1109" s="181"/>
      <c r="J1109" s="179"/>
      <c r="K1109" s="179"/>
      <c r="L1109" s="182"/>
      <c r="M1109" s="182"/>
      <c r="N1109" s="179"/>
      <c r="O1109" s="179"/>
      <c r="P1109" s="179"/>
      <c r="Q1109" s="179"/>
      <c r="R1109" s="179"/>
      <c r="S1109" s="179"/>
      <c r="T1109" s="179"/>
      <c r="U1109" s="179"/>
      <c r="V1109" s="179"/>
      <c r="W1109" s="179"/>
      <c r="X1109" s="179"/>
      <c r="Y1109" s="132"/>
      <c r="Z1109" s="179"/>
      <c r="AA1109" s="179"/>
      <c r="AB1109" s="179"/>
      <c r="AC1109" s="179"/>
      <c r="AD1109" s="132"/>
      <c r="AE1109" s="179"/>
      <c r="AF1109" s="179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2026-03-30T10:26:58Z</dcterms:created>
  <dcterms:modified xsi:type="dcterms:W3CDTF">2026-03-30T03:17:31Z</dcterms:modified>
</cp:coreProperties>
</file>