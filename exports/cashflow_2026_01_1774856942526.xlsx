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<sst xmlns="http://schemas.openxmlformats.org/spreadsheetml/2006/main" count="115" uniqueCount="97">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</sst>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"/>
  </numFmts>
  <fonts count="13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FormatPr defaultRowHeight="15" outlineLevelRow="0" outlineLevelCol="0" x14ac:dyDescent="55"/>
  <cols>
    <col min="1" max="1" width="14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customWidth="1"/>
    <col min="7" max="7" width="13.85546875" customWidth="1"/>
    <col min="8" max="8" width="7.5703125" customWidth="1"/>
    <col min="9" max="9" width="13.85546875" customWidth="1"/>
    <col min="10" max="10" width="7.5703125" customWidth="1"/>
    <col min="11" max="11" width="15.140625" customWidth="1"/>
    <col min="12" max="12" width="9.42578125" customWidth="1"/>
    <col min="13" max="13" width="12.5703125" customWidth="1"/>
    <col min="14" max="14" width="6.5703125" customWidth="1"/>
    <col min="15" max="15" width="13.28515625" customWidth="1"/>
    <col min="16" max="16" width="6.5703125" customWidth="1"/>
    <col min="17" max="17" width="11.42578125" customWidth="1"/>
    <col min="18" max="18" width="11.28515625" customWidth="1"/>
    <col min="19" max="19" width="11.42578125" customWidth="1"/>
    <col min="20" max="20" width="10.7109375" customWidth="1"/>
    <col min="21" max="21" width="11.5703125" customWidth="1"/>
    <col min="22" max="22" width="7.42578125" customWidth="1"/>
    <col min="23" max="23" width="12.5703125" customWidth="1"/>
    <col min="24" max="24" width="7.42578125" customWidth="1"/>
    <col min="25" max="25" width="11.5703125" customWidth="1"/>
    <col min="26" max="26" width="8.140625" customWidth="1"/>
    <col min="27" max="27" width="12.5703125" customWidth="1"/>
    <col min="28" max="28" width="6.7109375" customWidth="1"/>
    <col min="29" max="29" width="13.42578125" customWidth="1"/>
    <col min="30" max="30" width="8.42578125" customWidth="1"/>
  </cols>
  <sheetData>
    <row r="1" ht="23.25" customHeight="1" spans="1:30" x14ac:dyDescent="0.25">
      <c r="A1" s="1"/>
      <c r="B1" s="1" t="s">
        <v>0</v>
      </c>
      <c r="C1" s="2" t="s">
        <v>0</v>
      </c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 t="s">
        <v>3</v>
      </c>
      <c r="H2" s="12" t="s">
        <v>4</v>
      </c>
      <c r="I2" s="11" t="s">
        <v>4</v>
      </c>
      <c r="J2" s="12" t="s">
        <v>5</v>
      </c>
      <c r="K2" s="11" t="s">
        <v>5</v>
      </c>
      <c r="L2" s="12" t="s">
        <v>6</v>
      </c>
      <c r="M2" s="11" t="s">
        <v>6</v>
      </c>
      <c r="N2" s="12" t="s">
        <v>7</v>
      </c>
      <c r="O2" s="11" t="s">
        <v>7</v>
      </c>
      <c r="P2" s="12" t="s">
        <v>8</v>
      </c>
      <c r="Q2" s="11" t="s">
        <v>8</v>
      </c>
      <c r="R2" s="12" t="s">
        <v>9</v>
      </c>
      <c r="S2" s="11" t="s">
        <v>9</v>
      </c>
      <c r="T2" s="12" t="s">
        <v>10</v>
      </c>
      <c r="U2" s="11" t="s">
        <v>10</v>
      </c>
      <c r="V2" s="13" t="s">
        <v>11</v>
      </c>
      <c r="W2" s="11" t="s">
        <v>11</v>
      </c>
      <c r="X2" s="10" t="s">
        <v>12</v>
      </c>
      <c r="Y2" s="11" t="s">
        <v>12</v>
      </c>
      <c r="Z2" s="10" t="s">
        <v>13</v>
      </c>
      <c r="AA2" s="11" t="s">
        <v>13</v>
      </c>
      <c r="AB2" s="14" t="s">
        <v>14</v>
      </c>
      <c r="AC2" s="11" t="s">
        <v>14</v>
      </c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>
        <v>10000</v>
      </c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</c>
      <c r="F4" s="25"/>
      <c r="G4" s="26">
        <f t="shared" ref="G4:U4" si="2">G5-G16</f>
      </c>
      <c r="H4" s="26">
        <f t="shared" si="2"/>
      </c>
      <c r="I4" s="26">
        <f t="shared" si="2"/>
      </c>
      <c r="J4" s="26">
        <f t="shared" si="2"/>
      </c>
      <c r="K4" s="26">
        <f t="shared" si="2"/>
      </c>
      <c r="L4" s="26">
        <f t="shared" si="2"/>
      </c>
      <c r="M4" s="26">
        <f t="shared" si="2"/>
      </c>
      <c r="N4" s="26">
        <f t="shared" si="2"/>
      </c>
      <c r="O4" s="26">
        <f t="shared" si="2"/>
      </c>
      <c r="P4" s="26">
        <f t="shared" si="2"/>
      </c>
      <c r="Q4" s="26">
        <f t="shared" si="2"/>
      </c>
      <c r="R4" s="26">
        <f t="shared" si="2"/>
      </c>
      <c r="S4" s="26">
        <f t="shared" si="2"/>
      </c>
      <c r="T4" s="26">
        <f t="shared" si="2"/>
      </c>
      <c r="U4" s="26">
        <f t="shared" si="2"/>
      </c>
      <c r="V4" s="26"/>
      <c r="W4" s="26">
        <f>W5-W16</f>
      </c>
      <c r="X4" s="26"/>
      <c r="Y4" s="26">
        <f>Y5-Y16</f>
      </c>
      <c r="Z4" s="25"/>
      <c r="AA4" s="26">
        <f>AA5-AA16</f>
      </c>
      <c r="AB4" s="25"/>
      <c r="AC4" s="26">
        <f>AC5-AC16</f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</c>
      <c r="F5" s="25"/>
      <c r="G5" s="26">
        <f>SUBTOTAL(9,G6:G15)-G13</f>
      </c>
      <c r="H5" s="25"/>
      <c r="I5" s="26">
        <f>SUBTOTAL(9,I6:I15)-I13</f>
      </c>
      <c r="J5" s="25"/>
      <c r="K5" s="26">
        <f>SUBTOTAL(9,K6:K15)-K13</f>
      </c>
      <c r="L5" s="25"/>
      <c r="M5" s="26">
        <f>SUBTOTAL(9,M6:M15)-M13</f>
      </c>
      <c r="N5" s="25"/>
      <c r="O5" s="26">
        <f>SUBTOTAL(9,O6:O15)-O13</f>
      </c>
      <c r="P5" s="25"/>
      <c r="Q5" s="26">
        <f>SUBTOTAL(9,Q6:Q15)-Q13</f>
      </c>
      <c r="R5" s="25"/>
      <c r="S5" s="26">
        <f>SUBTOTAL(9,S6:S15)-S13</f>
      </c>
      <c r="T5" s="25"/>
      <c r="U5" s="26">
        <f>SUBTOTAL(9,U6:U15)-U13</f>
      </c>
      <c r="V5" s="26"/>
      <c r="W5" s="26">
        <f>SUBTOTAL(9,W6:W15)-W13</f>
      </c>
      <c r="X5" s="26"/>
      <c r="Y5" s="26">
        <f>SUBTOTAL(9,Y6:Y15)-Y13</f>
      </c>
      <c r="Z5" s="26"/>
      <c r="AA5" s="26">
        <f>SUBTOTAL(9,AA6:AA15)-AA13</f>
      </c>
      <c r="AB5" s="25"/>
      <c r="AC5" s="26">
        <f>SUBTOTAL(9,AC6:AC15)-AC13</f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</c>
      <c r="E6" s="29">
        <v>0</v>
      </c>
      <c r="F6" s="30" t="e">
        <f>G6/$G$5</f>
        <v>#DIV/0!</v>
      </c>
      <c r="G6" s="31">
        <f>SUBTOTAL(9,$G$7:$G$9)</f>
      </c>
      <c r="H6" s="30" t="e">
        <f>I6/$I$5</f>
        <v>#DIV/0!</v>
      </c>
      <c r="I6" s="31">
        <f>SUBTOTAL(9,I7:I9)</f>
      </c>
      <c r="J6" s="30" t="e">
        <f>K6/$K$5</f>
        <v>#DIV/0!</v>
      </c>
      <c r="K6" s="31">
        <f>SUBTOTAL(9,K7:K9)</f>
      </c>
      <c r="L6" s="30" t="e">
        <f>M6/$M$5</f>
        <v>#DIV/0!</v>
      </c>
      <c r="M6" s="31">
        <f>SUBTOTAL(9,M7:M9)</f>
      </c>
      <c r="N6" s="30" t="e">
        <f>O6/$O$5</f>
        <v>#DIV/0!</v>
      </c>
      <c r="O6" s="31">
        <f>SUBTOTAL(9,O7:O9)</f>
      </c>
      <c r="P6" s="30" t="e">
        <f>Q6/$Q$5</f>
        <v>#DIV/0!</v>
      </c>
      <c r="Q6" s="31">
        <f>SUBTOTAL(9,Q7:Q9)</f>
      </c>
      <c r="R6" s="30" t="e">
        <f>S6/$S$5</f>
        <v>#DIV/0!</v>
      </c>
      <c r="S6" s="31">
        <f>SUBTOTAL(9,S7:S9)</f>
      </c>
      <c r="T6" s="30" t="e">
        <f>U6/$U$5</f>
        <v>#DIV/0!</v>
      </c>
      <c r="U6" s="31">
        <f>SUBTOTAL(9,U7:U9)</f>
      </c>
      <c r="V6" s="31"/>
      <c r="W6" s="31">
        <f t="shared" ref="W6:AC6" si="3">SUBTOTAL(9,W7:W9)</f>
      </c>
      <c r="X6" s="30">
        <f t="shared" si="3"/>
      </c>
      <c r="Y6" s="31">
        <f t="shared" si="3"/>
      </c>
      <c r="Z6" s="30">
        <f t="shared" si="3"/>
      </c>
      <c r="AA6" s="31">
        <f t="shared" si="3"/>
      </c>
      <c r="AB6" s="31">
        <f t="shared" si="3"/>
      </c>
      <c r="AC6" s="31">
        <f t="shared" si="3"/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</c>
      <c r="E7" s="34">
        <f t="shared" si="1"/>
      </c>
      <c r="F7" s="3">
        <v>0.9353</v>
      </c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</c>
      <c r="F8" s="3">
        <v>0.0647</v>
      </c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</c>
      <c r="E9" s="34">
        <f t="shared" si="1"/>
      </c>
      <c r="F9" s="3">
        <v>0</v>
      </c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>
        <v>711.1</v>
      </c>
      <c r="B13" s="38" t="s">
        <v>28</v>
      </c>
      <c r="C13" s="39">
        <f>E14+E15</f>
      </c>
      <c r="D13" s="40"/>
      <c r="E13" s="41">
        <f t="shared" si="1"/>
      </c>
      <c r="F13" s="42">
        <v>0</v>
      </c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</c>
      <c r="F14" s="30">
        <v>0</v>
      </c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</c>
      <c r="F16" s="25"/>
      <c r="G16" s="26">
        <f>SUBTOTAL(9,G17:G65)</f>
      </c>
      <c r="H16" s="26">
        <f t="shared" ref="H16:AC16" si="5">SUBTOTAL(9,H17:H65)</f>
      </c>
      <c r="I16" s="26">
        <f t="shared" si="5"/>
      </c>
      <c r="J16" s="26">
        <f t="shared" si="5"/>
      </c>
      <c r="K16" s="26">
        <f t="shared" si="5"/>
      </c>
      <c r="L16" s="26">
        <f t="shared" si="5"/>
      </c>
      <c r="M16" s="26">
        <f t="shared" si="5"/>
      </c>
      <c r="N16" s="26">
        <f t="shared" si="5"/>
      </c>
      <c r="O16" s="26">
        <f t="shared" si="5"/>
      </c>
      <c r="P16" s="26">
        <f t="shared" si="5"/>
      </c>
      <c r="Q16" s="26">
        <f t="shared" si="5"/>
      </c>
      <c r="R16" s="26">
        <f t="shared" si="5"/>
      </c>
      <c r="S16" s="26">
        <f t="shared" si="5"/>
      </c>
      <c r="T16" s="26">
        <f t="shared" si="5"/>
      </c>
      <c r="U16" s="26">
        <f t="shared" si="5"/>
      </c>
      <c r="V16" s="26" t="e">
        <f t="shared" si="5"/>
        <v>#DIV/0!</v>
      </c>
      <c r="W16" s="26">
        <f t="shared" si="5"/>
      </c>
      <c r="X16" s="26">
        <f t="shared" si="5"/>
      </c>
      <c r="Y16" s="26">
        <f t="shared" si="5"/>
      </c>
      <c r="Z16" s="26" t="e">
        <f t="shared" si="5"/>
        <v>#DIV/0!</v>
      </c>
      <c r="AA16" s="26">
        <f t="shared" si="5"/>
      </c>
      <c r="AB16" s="26">
        <f t="shared" si="5"/>
      </c>
      <c r="AC16" s="26">
        <f t="shared" si="5"/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</c>
      <c r="F17" s="30">
        <v>0.4572</v>
      </c>
      <c r="G17" s="31">
        <f t="shared" ref="G17:U17" si="7">SUBTOTAL(9,G18:G22)</f>
      </c>
      <c r="H17" s="30">
        <f t="shared" si="7"/>
      </c>
      <c r="I17" s="31">
        <f t="shared" si="7"/>
      </c>
      <c r="J17" s="30">
        <f t="shared" si="7"/>
      </c>
      <c r="K17" s="31">
        <f t="shared" si="7"/>
      </c>
      <c r="L17" s="30">
        <f t="shared" si="7"/>
      </c>
      <c r="M17" s="31">
        <f t="shared" si="7"/>
      </c>
      <c r="N17" s="30">
        <f t="shared" si="7"/>
      </c>
      <c r="O17" s="31">
        <f t="shared" si="7"/>
      </c>
      <c r="P17" s="31">
        <f t="shared" si="7"/>
      </c>
      <c r="Q17" s="31">
        <f t="shared" si="7"/>
      </c>
      <c r="R17" s="31">
        <f t="shared" si="7"/>
      </c>
      <c r="S17" s="31">
        <f t="shared" si="7"/>
      </c>
      <c r="T17" s="30">
        <f t="shared" si="7"/>
      </c>
      <c r="U17" s="31">
        <f t="shared" si="7"/>
      </c>
      <c r="V17" s="3" t="e">
        <f>W17/$W$6</f>
        <v>#DIV/0!</v>
      </c>
      <c r="W17" s="31">
        <f t="shared" ref="W17:Y17" si="8">SUBTOTAL(9,W18:W22)</f>
      </c>
      <c r="X17" s="30">
        <f t="shared" si="8"/>
      </c>
      <c r="Y17" s="31">
        <f t="shared" si="8"/>
      </c>
      <c r="Z17" s="3" t="e">
        <f>AA17/$AA$6</f>
        <v>#DIV/0!</v>
      </c>
      <c r="AA17" s="31">
        <f t="shared" ref="AA17:AC17" si="9">SUBTOTAL(9,AA18:AA22)</f>
      </c>
      <c r="AB17" s="31">
        <f t="shared" si="9"/>
      </c>
      <c r="AC17" s="31">
        <f t="shared" si="9"/>
      </c>
      <c r="AD17" s="32" t="e">
        <f t="shared" ref="AD17:AD62" si="10">E17/$E$5</f>
        <v>#DIV/0!</v>
      </c>
    </row>
    <row r="18" ht="12.75" customHeight="1" spans="1:30" x14ac:dyDescent="0.25">
      <c r="B18" s="43"/>
      <c r="C18" s="33" t="s">
        <v>36</v>
      </c>
      <c r="D18" s="36" t="e">
        <f t="shared" si="6"/>
        <v>#DIV/0!</v>
      </c>
      <c r="E18" s="34">
        <f t="shared" si="1"/>
      </c>
      <c r="F18" s="3">
        <v>0.1787</v>
      </c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1:30" x14ac:dyDescent="0.25">
      <c r="B19" s="33"/>
      <c r="C19" s="33" t="s">
        <v>37</v>
      </c>
      <c r="D19" s="36" t="e">
        <f t="shared" si="6"/>
        <v>#DIV/0!</v>
      </c>
      <c r="E19" s="34">
        <f t="shared" si="1"/>
      </c>
      <c r="F19" s="3">
        <v>0.1273</v>
      </c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1:30" x14ac:dyDescent="0.25">
      <c r="B20" s="33"/>
      <c r="C20" s="33" t="s">
        <v>38</v>
      </c>
      <c r="D20" s="36" t="e">
        <f t="shared" si="6"/>
        <v>#DIV/0!</v>
      </c>
      <c r="E20" s="34">
        <f t="shared" si="1"/>
      </c>
      <c r="F20" s="3">
        <v>0.1392</v>
      </c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1:30" x14ac:dyDescent="0.25">
      <c r="B21" s="33"/>
      <c r="C21" s="33" t="s">
        <v>39</v>
      </c>
      <c r="D21" s="36" t="e">
        <f t="shared" si="6"/>
        <v>#DIV/0!</v>
      </c>
      <c r="E21" s="34">
        <f t="shared" si="1"/>
      </c>
      <c r="F21" s="3">
        <v>0</v>
      </c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1:30" x14ac:dyDescent="0.25">
      <c r="B22" s="43"/>
      <c r="C22" s="33" t="s">
        <v>40</v>
      </c>
      <c r="D22" s="36" t="e">
        <f t="shared" si="6"/>
        <v>#DIV/0!</v>
      </c>
      <c r="E22" s="34">
        <f t="shared" si="1"/>
      </c>
      <c r="F22" s="3">
        <v>0.012</v>
      </c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f t="shared" si="1"/>
      </c>
      <c r="F23" s="30">
        <v>0.0065</v>
      </c>
      <c r="G23" s="31">
        <f t="shared" ref="G23:J23" si="11">SUBTOTAL(9,G24:G26)</f>
      </c>
      <c r="H23" s="30">
        <f t="shared" si="11"/>
      </c>
      <c r="I23" s="31">
        <f t="shared" si="11"/>
      </c>
      <c r="J23" s="30">
        <f t="shared" si="11"/>
      </c>
      <c r="K23" s="31">
        <f>SUBTOTAL(9,K24:K27)</f>
      </c>
      <c r="L23" s="30">
        <f t="shared" ref="L23:N23" si="12">SUBTOTAL(9,L24:L26)</f>
      </c>
      <c r="M23" s="31">
        <f t="shared" si="12"/>
      </c>
      <c r="N23" s="30">
        <f t="shared" si="12"/>
      </c>
      <c r="O23" s="31">
        <f t="shared" ref="O23:S23" si="13">SUBTOTAL(9,O24:O27)</f>
      </c>
      <c r="P23" s="31">
        <f t="shared" si="13"/>
      </c>
      <c r="Q23" s="31">
        <f t="shared" si="13"/>
      </c>
      <c r="R23" s="31">
        <f t="shared" si="13"/>
      </c>
      <c r="S23" s="31">
        <f t="shared" si="13"/>
      </c>
      <c r="T23" s="30">
        <f t="shared" ref="T23:U23" si="14">SUBTOTAL(9,T24:T26)</f>
      </c>
      <c r="U23" s="31">
        <f t="shared" si="14"/>
      </c>
      <c r="V23" s="30" t="e">
        <f>W23/$W$6</f>
        <v>#DIV/0!</v>
      </c>
      <c r="W23" s="31">
        <f t="shared" ref="W23:Y23" si="15">SUBTOTAL(9,W24:W26)</f>
      </c>
      <c r="X23" s="30">
        <f t="shared" si="15"/>
      </c>
      <c r="Y23" s="31">
        <f t="shared" si="15"/>
      </c>
      <c r="Z23" s="30" t="e">
        <f>AA23/$AA$6</f>
        <v>#DIV/0!</v>
      </c>
      <c r="AA23" s="31">
        <f t="shared" ref="AA23:AC23" si="16">SUBTOTAL(9,AA24:AA26)</f>
      </c>
      <c r="AB23" s="31">
        <f t="shared" si="16"/>
      </c>
      <c r="AC23" s="31">
        <f t="shared" si="16"/>
      </c>
      <c r="AD23" s="32" t="e">
        <f t="shared" si="10"/>
        <v>#DIV/0!</v>
      </c>
    </row>
    <row r="24" ht="12.75" customHeight="1" spans="1:30" x14ac:dyDescent="0.25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1:30" x14ac:dyDescent="0.25">
      <c r="B25" s="43"/>
      <c r="C25" s="33" t="s">
        <v>44</v>
      </c>
      <c r="D25" s="36" t="e">
        <f t="shared" si="6"/>
        <v>#DIV/0!</v>
      </c>
      <c r="E25" s="34">
        <f t="shared" si="1"/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1:30" x14ac:dyDescent="0.25">
      <c r="B26" s="43"/>
      <c r="C26" s="33" t="s">
        <v>45</v>
      </c>
      <c r="D26" s="36" t="e">
        <f t="shared" si="6"/>
        <v>#DIV/0!</v>
      </c>
      <c r="E26" s="34">
        <f t="shared" si="1"/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1:30" x14ac:dyDescent="0.25">
      <c r="B27" s="47"/>
      <c r="C27" s="33" t="s">
        <v>46</v>
      </c>
      <c r="D27" s="36" t="e">
        <f t="shared" si="6"/>
        <v>#DIV/0!</v>
      </c>
      <c r="E27" s="34">
        <f t="shared" si="1"/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f t="shared" si="1"/>
      </c>
      <c r="F28" s="30">
        <v>0.0027</v>
      </c>
      <c r="G28" s="31">
        <f t="shared" ref="G28:U28" si="17">SUBTOTAL(9,G29:G30)</f>
      </c>
      <c r="H28" s="30">
        <f t="shared" si="17"/>
      </c>
      <c r="I28" s="31">
        <f t="shared" si="17"/>
      </c>
      <c r="J28" s="30">
        <f t="shared" si="17"/>
      </c>
      <c r="K28" s="31">
        <f t="shared" si="17"/>
      </c>
      <c r="L28" s="30">
        <f t="shared" si="17"/>
      </c>
      <c r="M28" s="31">
        <f t="shared" si="17"/>
      </c>
      <c r="N28" s="30">
        <f t="shared" si="17"/>
      </c>
      <c r="O28" s="31">
        <f t="shared" si="17"/>
      </c>
      <c r="P28" s="30">
        <f t="shared" si="17"/>
      </c>
      <c r="Q28" s="31">
        <f t="shared" si="17"/>
      </c>
      <c r="R28" s="30">
        <f t="shared" si="17"/>
      </c>
      <c r="S28" s="31">
        <f t="shared" si="17"/>
      </c>
      <c r="T28" s="30">
        <f t="shared" si="17"/>
      </c>
      <c r="U28" s="31">
        <f t="shared" si="17"/>
      </c>
      <c r="V28" s="30" t="e">
        <f>W28/$W$6</f>
        <v>#DIV/0!</v>
      </c>
      <c r="W28" s="31">
        <f t="shared" ref="W28:Y28" si="18">SUBTOTAL(9,W29:W30)</f>
      </c>
      <c r="X28" s="30">
        <f t="shared" si="18"/>
      </c>
      <c r="Y28" s="31">
        <f t="shared" si="18"/>
      </c>
      <c r="Z28" s="3" t="e">
        <f>AA28/$AA$6</f>
        <v>#DIV/0!</v>
      </c>
      <c r="AA28" s="31">
        <f t="shared" ref="AA28:AC28" si="19">SUBTOTAL(9,AA29:AA30)</f>
      </c>
      <c r="AB28" s="31">
        <f t="shared" si="19"/>
      </c>
      <c r="AC28" s="31">
        <f t="shared" si="19"/>
      </c>
      <c r="AD28" s="32" t="e">
        <f t="shared" si="10"/>
        <v>#DIV/0!</v>
      </c>
    </row>
    <row r="29" ht="12.75" customHeight="1" spans="1:30" x14ac:dyDescent="0.25">
      <c r="B29" s="43"/>
      <c r="C29" s="33" t="s">
        <v>48</v>
      </c>
      <c r="D29" s="36" t="e">
        <f t="shared" ref="D29:D30" si="20">E29/$E$6</f>
        <v>#DIV/0!</v>
      </c>
      <c r="E29" s="34">
        <f t="shared" si="1"/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>
      <c r="A30" s="33"/>
      <c r="B30" s="43"/>
      <c r="C30" s="33" t="s">
        <v>49</v>
      </c>
      <c r="D30" s="36" t="e">
        <f t="shared" si="20"/>
        <v>#DIV/0!</v>
      </c>
      <c r="E30" s="34">
        <f t="shared" si="1"/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</c>
      <c r="F31" s="30">
        <v>0.0192</v>
      </c>
      <c r="G31" s="31">
        <f t="shared" ref="G31:U31" si="21">SUBTOTAL(9,G32:G33)</f>
      </c>
      <c r="H31" s="30">
        <f t="shared" si="21"/>
      </c>
      <c r="I31" s="31">
        <f t="shared" si="21"/>
      </c>
      <c r="J31" s="30">
        <f t="shared" si="21"/>
      </c>
      <c r="K31" s="31">
        <f t="shared" si="21"/>
      </c>
      <c r="L31" s="30">
        <f t="shared" si="21"/>
      </c>
      <c r="M31" s="31">
        <f t="shared" si="21"/>
      </c>
      <c r="N31" s="30">
        <f t="shared" si="21"/>
      </c>
      <c r="O31" s="31">
        <f t="shared" si="21"/>
      </c>
      <c r="P31" s="31">
        <f t="shared" si="21"/>
      </c>
      <c r="Q31" s="31">
        <f t="shared" si="21"/>
      </c>
      <c r="R31" s="31">
        <f t="shared" si="21"/>
      </c>
      <c r="S31" s="31">
        <f t="shared" si="21"/>
      </c>
      <c r="T31" s="30">
        <f t="shared" si="21"/>
      </c>
      <c r="U31" s="31">
        <f t="shared" si="21"/>
      </c>
      <c r="V31" s="30" t="e">
        <f>W31/$W$6</f>
        <v>#DIV/0!</v>
      </c>
      <c r="W31" s="31">
        <f t="shared" ref="W31:Y31" si="22">SUBTOTAL(9,W32:W33)</f>
      </c>
      <c r="X31" s="30">
        <f t="shared" si="22"/>
      </c>
      <c r="Y31" s="31">
        <f t="shared" si="22"/>
      </c>
      <c r="Z31" s="30" t="e">
        <f>AA31/$AA$6</f>
        <v>#DIV/0!</v>
      </c>
      <c r="AA31" s="31">
        <f t="shared" ref="AA31:AC31" si="23">SUBTOTAL(9,AA32:AA33)</f>
      </c>
      <c r="AB31" s="31">
        <f t="shared" si="23"/>
      </c>
      <c r="AC31" s="31">
        <f t="shared" si="23"/>
      </c>
      <c r="AD31" s="32" t="e">
        <f t="shared" si="10"/>
        <v>#DIV/0!</v>
      </c>
    </row>
    <row r="32" ht="12.75" customHeight="1" spans="1:30" x14ac:dyDescent="0.25">
      <c r="A32" s="33">
        <v>6421.2</v>
      </c>
      <c r="B32" s="43"/>
      <c r="C32" s="33" t="s">
        <v>51</v>
      </c>
      <c r="D32" s="36" t="e">
        <f t="shared" ref="D32:D33" si="24">E32/$E$6</f>
        <v>#DIV/0!</v>
      </c>
      <c r="E32" s="34">
        <f t="shared" si="1"/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>
      <c r="A33" s="27"/>
      <c r="B33" s="43"/>
      <c r="C33" s="33" t="s">
        <v>52</v>
      </c>
      <c r="D33" s="36" t="e">
        <f t="shared" si="24"/>
        <v>#DIV/0!</v>
      </c>
      <c r="E33" s="34">
        <f t="shared" si="1"/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</c>
      <c r="F34" s="30">
        <v>0.02</v>
      </c>
      <c r="G34" s="31">
        <f t="shared" ref="G34:U34" si="26">SUBTOTAL(9,G35:G36)</f>
      </c>
      <c r="H34" s="30">
        <f t="shared" si="26"/>
      </c>
      <c r="I34" s="31">
        <f t="shared" si="26"/>
      </c>
      <c r="J34" s="30">
        <f t="shared" si="26"/>
      </c>
      <c r="K34" s="31">
        <f t="shared" si="26"/>
      </c>
      <c r="L34" s="30">
        <f t="shared" si="26"/>
      </c>
      <c r="M34" s="31">
        <f t="shared" si="26"/>
      </c>
      <c r="N34" s="30">
        <f t="shared" si="26"/>
      </c>
      <c r="O34" s="31">
        <f t="shared" si="26"/>
      </c>
      <c r="P34" s="30">
        <f t="shared" si="26"/>
      </c>
      <c r="Q34" s="31">
        <f t="shared" si="26"/>
      </c>
      <c r="R34" s="30">
        <f t="shared" si="26"/>
      </c>
      <c r="S34" s="31">
        <f t="shared" si="26"/>
      </c>
      <c r="T34" s="30">
        <f t="shared" si="26"/>
      </c>
      <c r="U34" s="31">
        <f t="shared" si="26"/>
      </c>
      <c r="V34" s="30" t="e">
        <f>W34/$W$6</f>
        <v>#DIV/0!</v>
      </c>
      <c r="W34" s="31">
        <f t="shared" ref="W34:Y34" si="27">SUBTOTAL(9,W35:W36)</f>
      </c>
      <c r="X34" s="30">
        <f t="shared" si="27"/>
      </c>
      <c r="Y34" s="31">
        <f t="shared" si="27"/>
      </c>
      <c r="Z34" s="30" t="e">
        <f>AA34/$AA$6</f>
        <v>#DIV/0!</v>
      </c>
      <c r="AA34" s="31">
        <f t="shared" ref="AA34:AC34" si="28">SUBTOTAL(9,AA35:AA36)</f>
      </c>
      <c r="AB34" s="31">
        <f t="shared" si="28"/>
      </c>
      <c r="AC34" s="31">
        <f t="shared" si="28"/>
      </c>
      <c r="AD34" s="32" t="e">
        <f t="shared" si="10"/>
        <v>#DIV/0!</v>
      </c>
    </row>
    <row r="35" ht="12.75" customHeight="1" spans="1:30" x14ac:dyDescent="0.25">
      <c r="A35" s="33">
        <v>6422.6</v>
      </c>
      <c r="B35" s="43"/>
      <c r="C35" s="33" t="s">
        <v>54</v>
      </c>
      <c r="D35" s="36" t="e">
        <f t="shared" si="25"/>
        <v>#DIV/0!</v>
      </c>
      <c r="E35" s="34">
        <f t="shared" si="1"/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</c>
      <c r="F37" s="30">
        <v>0.0247</v>
      </c>
      <c r="G37" s="31">
        <f t="shared" ref="G37:U37" si="30">SUBTOTAL(9,G38:G43)</f>
      </c>
      <c r="H37" s="30">
        <f t="shared" si="30"/>
      </c>
      <c r="I37" s="31">
        <f t="shared" si="30"/>
      </c>
      <c r="J37" s="30">
        <f t="shared" si="30"/>
      </c>
      <c r="K37" s="31">
        <f t="shared" si="30"/>
      </c>
      <c r="L37" s="30">
        <f t="shared" si="30"/>
      </c>
      <c r="M37" s="31">
        <f t="shared" si="30"/>
      </c>
      <c r="N37" s="30">
        <f t="shared" si="30"/>
      </c>
      <c r="O37" s="31">
        <f t="shared" si="30"/>
      </c>
      <c r="P37" s="31">
        <f t="shared" si="30"/>
      </c>
      <c r="Q37" s="31">
        <f t="shared" si="30"/>
      </c>
      <c r="R37" s="31">
        <f t="shared" si="30"/>
      </c>
      <c r="S37" s="31">
        <f t="shared" si="30"/>
      </c>
      <c r="T37" s="30">
        <f t="shared" si="30"/>
      </c>
      <c r="U37" s="31">
        <f t="shared" si="30"/>
      </c>
      <c r="V37" s="30" t="e">
        <f>W37/$W$6</f>
        <v>#DIV/0!</v>
      </c>
      <c r="W37" s="31">
        <f t="shared" ref="W37:Y37" si="31">SUBTOTAL(9,W38:W43)</f>
      </c>
      <c r="X37" s="30">
        <f t="shared" si="31"/>
      </c>
      <c r="Y37" s="31">
        <f t="shared" si="31"/>
      </c>
      <c r="Z37" s="30" t="e">
        <f>AA37/$AA$6</f>
        <v>#DIV/0!</v>
      </c>
      <c r="AA37" s="31">
        <f t="shared" ref="AA37:AC37" si="32">SUBTOTAL(9,AA38:AA43)</f>
      </c>
      <c r="AB37" s="31">
        <f t="shared" si="32"/>
      </c>
      <c r="AC37" s="31">
        <f t="shared" si="32"/>
      </c>
      <c r="AD37" s="32" t="e">
        <f t="shared" si="10"/>
        <v>#DIV/0!</v>
      </c>
    </row>
    <row r="38" ht="12.75" customHeight="1" spans="1:30" x14ac:dyDescent="0.25">
      <c r="A38" s="33">
        <v>6421.3</v>
      </c>
      <c r="B38" s="43"/>
      <c r="C38" s="33" t="s">
        <v>57</v>
      </c>
      <c r="D38" s="36" t="e">
        <f t="shared" si="29"/>
        <v>#DIV/0!</v>
      </c>
      <c r="E38" s="34">
        <f t="shared" si="1"/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>
      <c r="A39" s="33">
        <v>6421.4</v>
      </c>
      <c r="B39" s="43"/>
      <c r="C39" s="33" t="s">
        <v>58</v>
      </c>
      <c r="D39" s="36" t="e">
        <f t="shared" si="29"/>
        <v>#DIV/0!</v>
      </c>
      <c r="E39" s="34">
        <f t="shared" si="1"/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>
      <c r="A40" s="33">
        <v>6421.5</v>
      </c>
      <c r="B40" s="43"/>
      <c r="C40" s="33" t="s">
        <v>59</v>
      </c>
      <c r="D40" s="36" t="e">
        <f t="shared" si="29"/>
        <v>#DIV/0!</v>
      </c>
      <c r="E40" s="34">
        <f t="shared" si="1"/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>
      <c r="A41" s="33">
        <v>6421.6</v>
      </c>
      <c r="B41" s="43"/>
      <c r="C41" s="33" t="s">
        <v>60</v>
      </c>
      <c r="D41" s="36" t="e">
        <f t="shared" si="29"/>
        <v>#DIV/0!</v>
      </c>
      <c r="E41" s="34">
        <f t="shared" si="1"/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>
      <c r="A42" s="33">
        <v>6421.7</v>
      </c>
      <c r="B42" s="43"/>
      <c r="C42" s="33" t="s">
        <v>61</v>
      </c>
      <c r="D42" s="36" t="e">
        <f t="shared" si="29"/>
        <v>#DIV/0!</v>
      </c>
      <c r="E42" s="34">
        <f t="shared" si="1"/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>
      <c r="A43" s="33">
        <v>154</v>
      </c>
      <c r="B43" s="43"/>
      <c r="C43" s="33" t="s">
        <v>62</v>
      </c>
      <c r="D43" s="36" t="e">
        <f t="shared" si="29"/>
        <v>#DIV/0!</v>
      </c>
      <c r="E43" s="34">
        <f t="shared" si="1"/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</c>
      <c r="F44" s="30">
        <v>0.0194</v>
      </c>
      <c r="G44" s="31">
        <f t="shared" ref="G44:U44" si="33">SUBTOTAL(9,G45:G48)</f>
      </c>
      <c r="H44" s="30">
        <f t="shared" si="33"/>
      </c>
      <c r="I44" s="31">
        <f t="shared" si="33"/>
      </c>
      <c r="J44" s="30">
        <f t="shared" si="33"/>
      </c>
      <c r="K44" s="31">
        <f t="shared" si="33"/>
      </c>
      <c r="L44" s="30">
        <f t="shared" si="33"/>
      </c>
      <c r="M44" s="31">
        <f t="shared" si="33"/>
      </c>
      <c r="N44" s="30">
        <f t="shared" si="33"/>
      </c>
      <c r="O44" s="31">
        <f t="shared" si="33"/>
      </c>
      <c r="P44" s="31">
        <f t="shared" si="33"/>
      </c>
      <c r="Q44" s="31">
        <f t="shared" si="33"/>
      </c>
      <c r="R44" s="31">
        <f t="shared" si="33"/>
      </c>
      <c r="S44" s="31">
        <f t="shared" si="33"/>
      </c>
      <c r="T44" s="30">
        <f t="shared" si="33"/>
      </c>
      <c r="U44" s="31">
        <f t="shared" si="33"/>
      </c>
      <c r="V44" s="30" t="e">
        <f>W44/$W$6</f>
        <v>#DIV/0!</v>
      </c>
      <c r="W44" s="31">
        <f t="shared" ref="W44:Y44" si="34">SUBTOTAL(9,W45:W48)</f>
      </c>
      <c r="X44" s="30">
        <f t="shared" si="34"/>
      </c>
      <c r="Y44" s="31">
        <f t="shared" si="34"/>
      </c>
      <c r="Z44" s="30" t="e">
        <f>AA44/$AA$6</f>
        <v>#DIV/0!</v>
      </c>
      <c r="AA44" s="31">
        <f t="shared" ref="AA44:AC44" si="35">SUBTOTAL(9,AA45:AA48)</f>
      </c>
      <c r="AB44" s="31">
        <f t="shared" si="35"/>
      </c>
      <c r="AC44" s="31">
        <f t="shared" si="35"/>
      </c>
      <c r="AD44" s="32" t="e">
        <f t="shared" si="10"/>
        <v>#DIV/0!</v>
      </c>
    </row>
    <row r="45" ht="12.75" customHeight="1" spans="1:30" x14ac:dyDescent="0.25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>
      <c r="A46" s="33">
        <v>6421.8</v>
      </c>
      <c r="B46" s="48"/>
      <c r="C46" s="33" t="s">
        <v>66</v>
      </c>
      <c r="D46" s="36" t="e">
        <f t="shared" si="36"/>
        <v>#DIV/0!</v>
      </c>
      <c r="E46" s="34">
        <f t="shared" si="1"/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>
      <c r="A47" s="33">
        <v>6421.9</v>
      </c>
      <c r="B47" s="48"/>
      <c r="C47" s="33" t="s">
        <v>67</v>
      </c>
      <c r="D47" s="36" t="e">
        <f t="shared" si="36"/>
        <v>#DIV/0!</v>
      </c>
      <c r="E47" s="34">
        <f t="shared" si="1"/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</c>
      <c r="F49" s="30">
        <v>0.0005</v>
      </c>
      <c r="G49" s="31">
        <f t="shared" ref="G49:U49" si="38">SUBTOTAL(9,G50:G52)</f>
      </c>
      <c r="H49" s="30">
        <f t="shared" si="38"/>
      </c>
      <c r="I49" s="31">
        <f t="shared" si="38"/>
      </c>
      <c r="J49" s="30">
        <f t="shared" si="38"/>
      </c>
      <c r="K49" s="31">
        <f t="shared" si="38"/>
      </c>
      <c r="L49" s="30">
        <f t="shared" si="38"/>
      </c>
      <c r="M49" s="31">
        <f t="shared" si="38"/>
      </c>
      <c r="N49" s="30">
        <f t="shared" si="38"/>
      </c>
      <c r="O49" s="31">
        <f t="shared" si="38"/>
      </c>
      <c r="P49" s="31">
        <f t="shared" si="38"/>
      </c>
      <c r="Q49" s="31">
        <f t="shared" si="38"/>
      </c>
      <c r="R49" s="30">
        <f t="shared" si="38"/>
      </c>
      <c r="S49" s="31">
        <f t="shared" si="38"/>
      </c>
      <c r="T49" s="30">
        <f t="shared" si="38"/>
      </c>
      <c r="U49" s="31">
        <f t="shared" si="38"/>
      </c>
      <c r="V49" s="30" t="e">
        <f>W49/$W$6</f>
        <v>#DIV/0!</v>
      </c>
      <c r="W49" s="31">
        <f t="shared" ref="W49:Y49" si="39">SUBTOTAL(9,W50:W52)</f>
      </c>
      <c r="X49" s="30">
        <f t="shared" si="39"/>
      </c>
      <c r="Y49" s="31">
        <f t="shared" si="39"/>
      </c>
      <c r="Z49" s="30" t="e">
        <f>AA49/$AA$6</f>
        <v>#DIV/0!</v>
      </c>
      <c r="AA49" s="31">
        <f t="shared" ref="AA49:AC49" si="40">SUBTOTAL(9,AA50:AA52)</f>
      </c>
      <c r="AB49" s="31">
        <f t="shared" si="40"/>
      </c>
      <c r="AC49" s="31">
        <f t="shared" si="40"/>
      </c>
      <c r="AD49" s="32" t="e">
        <f t="shared" si="10"/>
        <v>#DIV/0!</v>
      </c>
    </row>
    <row r="50" ht="17.25" customHeight="1" spans="1:30" x14ac:dyDescent="0.25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</c>
      <c r="F53" s="30">
        <v>0.0878</v>
      </c>
      <c r="G53" s="31">
        <f t="shared" ref="G53:U53" si="42">SUBTOTAL(9,G54:G56)</f>
      </c>
      <c r="H53" s="30">
        <f t="shared" si="42"/>
      </c>
      <c r="I53" s="31">
        <f t="shared" si="42"/>
      </c>
      <c r="J53" s="31">
        <f t="shared" si="42"/>
      </c>
      <c r="K53" s="31">
        <f t="shared" si="42"/>
      </c>
      <c r="L53" s="30">
        <f t="shared" si="42"/>
      </c>
      <c r="M53" s="31">
        <f t="shared" si="42"/>
      </c>
      <c r="N53" s="30">
        <f t="shared" si="42"/>
      </c>
      <c r="O53" s="31">
        <f t="shared" si="42"/>
      </c>
      <c r="P53" s="31">
        <f t="shared" si="42"/>
      </c>
      <c r="Q53" s="31">
        <f t="shared" si="42"/>
      </c>
      <c r="R53" s="30">
        <f t="shared" si="42"/>
      </c>
      <c r="S53" s="31">
        <f t="shared" si="42"/>
      </c>
      <c r="T53" s="30">
        <f t="shared" si="42"/>
      </c>
      <c r="U53" s="31">
        <f t="shared" si="42"/>
      </c>
      <c r="V53" s="30" t="e">
        <f>W53/$W$6</f>
        <v>#DIV/0!</v>
      </c>
      <c r="W53" s="31">
        <f t="shared" ref="W53:Y53" si="43">SUBTOTAL(9,W54:W56)</f>
      </c>
      <c r="X53" s="30">
        <f t="shared" si="43"/>
      </c>
      <c r="Y53" s="31">
        <f t="shared" si="43"/>
      </c>
      <c r="Z53" s="30" t="e">
        <f>AA53/$AA$6</f>
        <v>#DIV/0!</v>
      </c>
      <c r="AA53" s="31">
        <f t="shared" ref="AA53:AC53" si="44">SUBTOTAL(9,AA54:AA56)</f>
      </c>
      <c r="AB53" s="31">
        <f t="shared" si="44"/>
      </c>
      <c r="AC53" s="31">
        <f t="shared" si="44"/>
      </c>
      <c r="AD53" s="32" t="e">
        <f t="shared" si="10"/>
        <v>#DIV/0!</v>
      </c>
    </row>
    <row r="54" ht="17.25" customHeight="1" spans="1:30" x14ac:dyDescent="0.25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>
      <c r="A55" s="33">
        <v>3383</v>
      </c>
      <c r="B55" s="43"/>
      <c r="C55" s="33" t="s">
        <v>76</v>
      </c>
      <c r="D55" s="36" t="e">
        <f>E55/$E$5</f>
        <v>#DIV/0!</v>
      </c>
      <c r="E55" s="34">
        <f t="shared" si="1"/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>
      <c r="A56" s="33">
        <v>6422.8</v>
      </c>
      <c r="B56" s="43"/>
      <c r="C56" s="33" t="s">
        <v>77</v>
      </c>
      <c r="D56" s="36"/>
      <c r="E56" s="34">
        <f t="shared" si="1"/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</c>
      <c r="F57" s="30">
        <v>0.0101</v>
      </c>
      <c r="G57" s="31">
        <f t="shared" ref="G57:U57" si="45">SUBTOTAL(9,G58:G62)</f>
      </c>
      <c r="H57" s="30">
        <f t="shared" si="45"/>
      </c>
      <c r="I57" s="31">
        <f t="shared" si="45"/>
      </c>
      <c r="J57" s="30">
        <f t="shared" si="45"/>
      </c>
      <c r="K57" s="31">
        <f t="shared" si="45"/>
      </c>
      <c r="L57" s="30">
        <f t="shared" si="45"/>
      </c>
      <c r="M57" s="31">
        <f t="shared" si="45"/>
      </c>
      <c r="N57" s="30">
        <f t="shared" si="45"/>
      </c>
      <c r="O57" s="31">
        <f t="shared" si="45"/>
      </c>
      <c r="P57" s="30">
        <f t="shared" si="45"/>
      </c>
      <c r="Q57" s="31">
        <f t="shared" si="45"/>
      </c>
      <c r="R57" s="30">
        <f t="shared" si="45"/>
      </c>
      <c r="S57" s="31">
        <f t="shared" si="45"/>
      </c>
      <c r="T57" s="30">
        <f t="shared" si="45"/>
      </c>
      <c r="U57" s="31">
        <f t="shared" si="45"/>
      </c>
      <c r="V57" s="30" t="e">
        <f>W57/$W$6</f>
        <v>#DIV/0!</v>
      </c>
      <c r="W57" s="31">
        <f t="shared" ref="W57:Y57" si="46">SUBTOTAL(9,W58:W62)</f>
      </c>
      <c r="X57" s="30">
        <f t="shared" si="46"/>
      </c>
      <c r="Y57" s="31">
        <f t="shared" si="46"/>
      </c>
      <c r="Z57" s="30" t="e">
        <f>AA57/$AA$6</f>
        <v>#DIV/0!</v>
      </c>
      <c r="AA57" s="31">
        <f t="shared" ref="AA57:AC57" si="47">SUBTOTAL(9,AA58:AA62)</f>
      </c>
      <c r="AB57" s="31">
        <f t="shared" si="47"/>
      </c>
      <c r="AC57" s="31">
        <f t="shared" si="47"/>
      </c>
      <c r="AD57" s="32" t="e">
        <f t="shared" si="10"/>
        <v>#DIV/0!</v>
      </c>
    </row>
    <row r="58" ht="17.25" customHeight="1" spans="1:30" x14ac:dyDescent="0.25">
      <c r="A58" s="53">
        <v>334.4</v>
      </c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>
        <v>811</v>
      </c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>
        <v>128</v>
      </c>
      <c r="B64" s="27" t="s">
        <v>92</v>
      </c>
      <c r="C64" s="33" t="s">
        <v>92</v>
      </c>
      <c r="D64" s="36" t="e">
        <f>E64/$E$6</f>
        <v>#DIV/0!</v>
      </c>
      <c r="E64" s="34">
        <f t="shared" si="1"/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</c>
      <c r="I66" s="22">
        <f>I3+I5-I16</f>
        <v>10000</v>
      </c>
      <c r="J66" s="22">
        <f>J3-J5-J16</f>
      </c>
      <c r="K66" s="22">
        <f>K3+K5-K16</f>
        <v>10000</v>
      </c>
      <c r="L66" s="22">
        <f>L3+L5-L16</f>
      </c>
      <c r="M66" s="22">
        <f>M3+M5-M16</f>
        <v>10000</v>
      </c>
      <c r="N66" s="22">
        <f>N3+N5-N16</f>
      </c>
      <c r="O66" s="22">
        <f>O3+O5-O16</f>
        <v>10000</v>
      </c>
      <c r="P66" s="22">
        <f>P3+P5-P16</f>
      </c>
      <c r="Q66" s="22">
        <f>Q3+Q5-Q16</f>
        <v>10000</v>
      </c>
      <c r="R66" s="22">
        <f>R3+R5-R16</f>
      </c>
      <c r="S66" s="22">
        <f>S3+S5-S16</f>
        <v>10000</v>
      </c>
      <c r="T66" s="22">
        <f>T3+T5-T16</f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</c>
      <c r="AC66" s="22">
        <f>AC3+AC5-AC16</f>
        <v>10000</v>
      </c>
      <c r="AD66" s="1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2026-03-30T07:49:02Z</dcterms:created>
  <dcterms:modified xsi:type="dcterms:W3CDTF">2026-03-30T07:49:02Z</dcterms:modified>
</cp:coreProperties>
</file>