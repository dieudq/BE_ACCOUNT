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flow_Misa" state="visible" r:id="rId4"/>
  </sheets>
  <calcPr calcId="171027"/>
</workbook>
</file>

<file path=xl/sharedStrings.xml><?xml version="1.0" encoding="utf-8"?>
<sst xmlns="http://schemas.openxmlformats.org/spreadsheetml/2006/main" count="115" uniqueCount="97">
  <si>
    <t>2026 - BẢNG THEO DÕI DÒNG TIỀN</t>
  </si>
  <si>
    <t>%</t>
  </si>
  <si>
    <t>TỔNG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</si>
  <si>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</si>
  <si>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</si>
  <si>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</si>
  <si>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</si>
  <si>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</si>
  <si>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</si>
  <si>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</si>
  <si>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</si>
  <si>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</si>
  <si>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</si>
  <si>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</si>
  <si>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</si>
  <si>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ĐẦU KỲ</t>
  </si>
  <si>
    <t>LÃI/LỖ</t>
  </si>
  <si>
    <t>THU</t>
  </si>
  <si>
    <t>Thu dự án</t>
  </si>
  <si>
    <t>131+515.1-635.1</t>
  </si>
  <si>
    <t xml:space="preserve"> --T&amp;M</t>
  </si>
  <si>
    <t xml:space="preserve"> -- Fixed Price</t>
  </si>
  <si>
    <t>--Doanh thu từ môi giới, giới thiệu</t>
  </si>
  <si>
    <t>Thu đầu tư tài chính, tiết kiệm</t>
  </si>
  <si>
    <t>Thu đầu tư R&amp;D</t>
  </si>
  <si>
    <t>515.2+711.2</t>
  </si>
  <si>
    <t>Thu khác</t>
  </si>
  <si>
    <t>Thu hoàn lương, cp gửi xe chi hộ, hoàn mua hộ cho KH, hoàn tiền chi hộ cho ds đính kèm hoạt động NB</t>
  </si>
  <si>
    <t>Thu từ khấu trừ thuế CTV</t>
  </si>
  <si>
    <t>515.1-635.1</t>
  </si>
  <si>
    <t xml:space="preserve">Lãi/lỗ TG </t>
  </si>
  <si>
    <t>Lãi/lỗ TG thanh toán</t>
  </si>
  <si>
    <t>515.4-635.2</t>
  </si>
  <si>
    <t>Lãi/lỗ TG rút tiền</t>
  </si>
  <si>
    <t>CHI</t>
  </si>
  <si>
    <t>Lương dự án</t>
  </si>
  <si>
    <t>Lương nhân viên nội bộ</t>
  </si>
  <si>
    <t>Lương nhân viên thuê ngoài trực tiếp (freelancer)</t>
  </si>
  <si>
    <t>Lương nhân viên thuê nhà cung cấp (vendor)</t>
  </si>
  <si>
    <t>Chi phí đầu tư đào tạo nhân lực (cử đi đào tạo, học tiếng anh...)</t>
  </si>
  <si>
    <t>Chi phí công tác, công cụ, sự kiện dành cho team dự án</t>
  </si>
  <si>
    <t>Quản lý văn phòng</t>
  </si>
  <si>
    <t>chia theo pbo</t>
  </si>
  <si>
    <t>Chi phí thuê nhà</t>
  </si>
  <si>
    <t>Dịch vụ/Điện/Nước/Gửi xe...</t>
  </si>
  <si>
    <t>Chi phí mua sắm, phục vụ văn phòng cơ bản</t>
  </si>
  <si>
    <t>Chi phí đầu tư Singapore</t>
  </si>
  <si>
    <t>Chi phí đảm bảo chất lượng</t>
  </si>
  <si>
    <t>ISO</t>
  </si>
  <si>
    <t>Chi phí quản lý</t>
  </si>
  <si>
    <t>Hành chính/ Nhân Sự</t>
  </si>
  <si>
    <t>Lương/Thưởng cho bộ phận HCNS</t>
  </si>
  <si>
    <t>Các chi phí hoạt động nội bộ</t>
  </si>
  <si>
    <t>Kế toán/Tài Chính</t>
  </si>
  <si>
    <t>Lương bộ phận kế toán</t>
  </si>
  <si>
    <t>Chi phí xử lý thuế, các vấn đề về kế toán (nếu có)</t>
  </si>
  <si>
    <t>Sales</t>
  </si>
  <si>
    <t xml:space="preserve">Lương NV Sales </t>
  </si>
  <si>
    <t>Công cụ phục vụ Sales</t>
  </si>
  <si>
    <t>Tiếp khách</t>
  </si>
  <si>
    <t>Công tác (sales)</t>
  </si>
  <si>
    <t>Hội phí tham gia các tổ chức hiệp hội</t>
  </si>
  <si>
    <t>Commission_Sales</t>
  </si>
  <si>
    <t>Marketing</t>
  </si>
  <si>
    <t>6421-15</t>
  </si>
  <si>
    <t>Lương NV Marketing</t>
  </si>
  <si>
    <t>Công tác (team marketing)</t>
  </si>
  <si>
    <t>Event marketing</t>
  </si>
  <si>
    <t>Các CP khác (hạ tầng, công cụ phục vụ...) (team marketing)</t>
  </si>
  <si>
    <t>Hạ tầng IT</t>
  </si>
  <si>
    <t>Chi phí Google Workspace</t>
  </si>
  <si>
    <t>Chi phí thuê Cloud Server (Amazon, DO, Vultr…)</t>
  </si>
  <si>
    <t>Chi phí đầu tư mua sắm bổ sung máy móc</t>
  </si>
  <si>
    <t>Thuế &amp; Bảo hiểm</t>
  </si>
  <si>
    <t>3334, 3335, 3339</t>
  </si>
  <si>
    <t>Thuế phải đóng</t>
  </si>
  <si>
    <t>BHXH</t>
  </si>
  <si>
    <t>BH Tự nguyện</t>
  </si>
  <si>
    <t xml:space="preserve">Thưởng (Bonus) </t>
  </si>
  <si>
    <t>Thưởng bonus dự án</t>
  </si>
  <si>
    <t>334.9 +6421-12</t>
  </si>
  <si>
    <t>Thưởng bonus tuyển dụng</t>
  </si>
  <si>
    <t>Chi phí tuyển dụng (Bonus tuyển dụng, Thuê dịch vụ …)</t>
  </si>
  <si>
    <t xml:space="preserve">6421-13 </t>
  </si>
  <si>
    <t>Thưởng marketing</t>
  </si>
  <si>
    <t>Thưởng MKT</t>
  </si>
  <si>
    <t>6421-14+ 334-11</t>
  </si>
  <si>
    <t xml:space="preserve">Thưởng kinh doanh (sales) </t>
  </si>
  <si>
    <t>Thưởng kinh doanh</t>
  </si>
  <si>
    <t>6422.9 + 334-12</t>
  </si>
  <si>
    <t>Thưởng kế toán</t>
  </si>
  <si>
    <t>Các khoản chi khác (cho vay, tín dụng,...)</t>
  </si>
  <si>
    <t>Khoản đi vay</t>
  </si>
  <si>
    <t>6423-334.8</t>
  </si>
  <si>
    <t>Chi chủ sở hữu</t>
  </si>
  <si>
    <t>Lương/Thưởng cho CSH</t>
  </si>
  <si>
    <t>CUỒI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</si>
</sst>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"/>
  </numFmts>
  <fonts count="13" x14ac:knownFonts="1">
    <font>
      <color theme="1"/>
      <family val="2"/>
      <scheme val="minor"/>
      <sz val="11"/>
      <name val="Calibri"/>
    </font>
    <font>
      <b/>
      <color rgb="FF4285F4"/>
      <scheme val="minor"/>
      <sz val="18"/>
      <name val="Arial"/>
    </font>
    <font>
      <color rgb="FF000000"/>
      <scheme val="minor"/>
      <sz val="10"/>
      <name val="Arial"/>
    </font>
    <font>
      <color theme="1"/>
      <scheme val="minor"/>
      <sz val="10"/>
      <name val="Arial"/>
    </font>
    <font>
      <color theme="1"/>
      <sz val="10"/>
      <name val="Arial"/>
    </font>
    <font>
      <color theme="1"/>
      <sz val="10"/>
      <name val="&quot;Helvetica Neue&quot;"/>
    </font>
    <font>
      <b/>
      <color theme="1"/>
      <sz val="10"/>
      <name val="&quot;Helvetica Neue&quot;"/>
    </font>
    <font>
      <sz val="10"/>
      <name val="Arial"/>
    </font>
    <font>
      <b/>
      <color theme="1"/>
      <scheme val="minor"/>
      <sz val="10"/>
      <name val="Arial"/>
    </font>
    <font>
      <b/>
      <color rgb="FFEA4335"/>
      <scheme val="minor"/>
      <sz val="10"/>
      <name val="Arial"/>
    </font>
    <font>
      <b/>
      <i/>
      <color theme="1"/>
      <scheme val="minor"/>
      <sz val="10"/>
      <name val="Arial"/>
    </font>
    <font>
      <color rgb="FF980000"/>
      <scheme val="minor"/>
      <sz val="10"/>
      <name val="Arial"/>
    </font>
    <font>
      <i/>
      <color theme="1"/>
      <scheme val="minor"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0" fontId="3" fillId="0" borderId="0" xfId="0" applyNumberFormat="1" applyFont="1"/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4" fillId="2" borderId="0" xfId="0" applyFont="1" applyFill="1"/>
    <xf numFmtId="0" fontId="4" fillId="2" borderId="1" xfId="0" applyFont="1" applyFill="1" applyBorder="1"/>
    <xf numFmtId="10" fontId="5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7" fillId="0" borderId="3" xfId="0" applyFont="1" applyBorder="1"/>
    <xf numFmtId="10" fontId="6" fillId="4" borderId="2" xfId="0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10" fontId="8" fillId="3" borderId="0" xfId="0" applyNumberFormat="1" applyFont="1" applyFill="1"/>
    <xf numFmtId="0" fontId="8" fillId="3" borderId="0" xfId="0" applyFont="1" applyFill="1"/>
    <xf numFmtId="10" fontId="9" fillId="6" borderId="0" xfId="0" applyNumberFormat="1" applyFont="1" applyFill="1"/>
    <xf numFmtId="3" fontId="9" fillId="6" borderId="0" xfId="0" applyNumberFormat="1" applyFont="1" applyFill="1"/>
    <xf numFmtId="10" fontId="8" fillId="6" borderId="0" xfId="0" applyNumberFormat="1" applyFont="1" applyFill="1"/>
    <xf numFmtId="3" fontId="8" fillId="6" borderId="0" xfId="0" applyNumberFormat="1" applyFont="1" applyFill="1"/>
    <xf numFmtId="0" fontId="8" fillId="6" borderId="0" xfId="0" applyFont="1" applyFill="1"/>
    <xf numFmtId="0" fontId="8" fillId="7" borderId="0" xfId="0" applyFont="1" applyFill="1"/>
    <xf numFmtId="10" fontId="8" fillId="7" borderId="0" xfId="0" applyNumberFormat="1" applyFont="1" applyFill="1"/>
    <xf numFmtId="3" fontId="8" fillId="7" borderId="0" xfId="0" applyNumberFormat="1" applyFont="1" applyFill="1"/>
    <xf numFmtId="0" fontId="8" fillId="0" borderId="0" xfId="0" applyFont="1"/>
    <xf numFmtId="3" fontId="3" fillId="8" borderId="0" xfId="0" applyNumberFormat="1" applyFont="1" applyFill="1"/>
    <xf numFmtId="3" fontId="8" fillId="3" borderId="0" xfId="0" applyNumberFormat="1" applyFont="1" applyFill="1"/>
    <xf numFmtId="10" fontId="8" fillId="0" borderId="0" xfId="0" applyNumberFormat="1" applyFont="1"/>
    <xf numFmtId="3" fontId="8" fillId="0" borderId="0" xfId="0" applyNumberFormat="1" applyFont="1"/>
    <xf numFmtId="10" fontId="8" fillId="8" borderId="0" xfId="0" applyNumberFormat="1" applyFont="1" applyFill="1"/>
    <xf numFmtId="0" fontId="3" fillId="0" borderId="0" xfId="0" applyFont="1"/>
    <xf numFmtId="3" fontId="3" fillId="3" borderId="0" xfId="0" applyNumberFormat="1" applyFont="1" applyFill="1"/>
    <xf numFmtId="3" fontId="3" fillId="0" borderId="0" xfId="0" applyNumberFormat="1" applyFont="1"/>
    <xf numFmtId="10" fontId="3" fillId="8" borderId="0" xfId="0" applyNumberFormat="1" applyFont="1" applyFill="1"/>
    <xf numFmtId="3" fontId="8" fillId="9" borderId="0" xfId="0" applyNumberFormat="1" applyFont="1" applyFill="1"/>
    <xf numFmtId="0" fontId="10" fillId="0" borderId="0" xfId="0" applyFont="1"/>
    <xf numFmtId="3" fontId="10" fillId="0" borderId="0" xfId="0" applyNumberFormat="1" applyFont="1"/>
    <xf numFmtId="10" fontId="10" fillId="8" borderId="0" xfId="0" applyNumberFormat="1" applyFont="1" applyFill="1"/>
    <xf numFmtId="3" fontId="10" fillId="3" borderId="0" xfId="0" applyNumberFormat="1" applyFont="1" applyFill="1"/>
    <xf numFmtId="10" fontId="10" fillId="0" borderId="0" xfId="0" applyNumberFormat="1" applyFont="1"/>
    <xf numFmtId="0" fontId="3" fillId="8" borderId="0" xfId="0" applyFont="1" applyFill="1"/>
    <xf numFmtId="3" fontId="3" fillId="9" borderId="0" xfId="0" applyNumberFormat="1" applyFont="1" applyFill="1"/>
    <xf numFmtId="0" fontId="8" fillId="9" borderId="0" xfId="0" applyFont="1" applyFill="1"/>
    <xf numFmtId="0" fontId="3" fillId="9" borderId="0" xfId="0" applyFont="1" applyFill="1"/>
    <xf numFmtId="164" fontId="3" fillId="8" borderId="0" xfId="0" applyNumberFormat="1" applyFont="1" applyFill="1"/>
    <xf numFmtId="0" fontId="8" fillId="8" borderId="0" xfId="0" applyFont="1" applyFill="1"/>
    <xf numFmtId="0" fontId="3" fillId="0" borderId="0" xfId="0" applyFont="1" applyAlignment="1">
      <alignment horizontal="left"/>
    </xf>
    <xf numFmtId="164" fontId="3" fillId="0" borderId="0" xfId="0" applyNumberFormat="1" applyFont="1"/>
    <xf numFmtId="3" fontId="2" fillId="9" borderId="0" xfId="0" applyNumberFormat="1" applyFont="1" applyFill="1"/>
    <xf numFmtId="3" fontId="11" fillId="9" borderId="0" xfId="0" applyNumberFormat="1" applyFont="1" applyFill="1"/>
    <xf numFmtId="0" fontId="12" fillId="0" borderId="0" xfId="0" applyFont="1"/>
    <xf numFmtId="0" fontId="3" fillId="10" borderId="0" xfId="0" applyFont="1" applyFill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6"/>
  <sheetFormatPr defaultRowHeight="15" outlineLevelRow="0" outlineLevelCol="0" x14ac:dyDescent="55"/>
  <cols>
    <col min="1" max="1" width="14" customWidth="1"/>
    <col min="2" max="2" width="24.7109375" customWidth="1"/>
    <col min="3" max="3" width="53.85546875" customWidth="1"/>
    <col min="4" max="4" width="13.7109375" customWidth="1"/>
    <col min="5" max="5" width="14.42578125" customWidth="1"/>
    <col min="6" max="6" width="10" customWidth="1"/>
    <col min="7" max="7" width="13.85546875" customWidth="1"/>
    <col min="8" max="8" width="7.5703125" customWidth="1"/>
    <col min="9" max="9" width="13.85546875" customWidth="1"/>
    <col min="10" max="10" width="7.5703125" customWidth="1"/>
    <col min="11" max="11" width="15.140625" customWidth="1"/>
    <col min="12" max="12" width="9.42578125" customWidth="1"/>
    <col min="13" max="13" width="12.5703125" customWidth="1"/>
    <col min="14" max="14" width="6.5703125" customWidth="1"/>
    <col min="15" max="15" width="13.28515625" customWidth="1"/>
    <col min="16" max="16" width="6.5703125" customWidth="1"/>
    <col min="17" max="17" width="11.42578125" customWidth="1"/>
    <col min="18" max="18" width="11.28515625" customWidth="1"/>
    <col min="19" max="19" width="11.42578125" customWidth="1"/>
    <col min="20" max="20" width="10.7109375" customWidth="1"/>
    <col min="21" max="21" width="11.5703125" customWidth="1"/>
    <col min="22" max="22" width="7.42578125" customWidth="1"/>
    <col min="23" max="23" width="12.5703125" customWidth="1"/>
    <col min="24" max="24" width="7.42578125" customWidth="1"/>
    <col min="25" max="25" width="11.5703125" customWidth="1"/>
    <col min="26" max="26" width="8.140625" customWidth="1"/>
    <col min="27" max="27" width="12.5703125" customWidth="1"/>
    <col min="28" max="28" width="6.7109375" customWidth="1"/>
    <col min="29" max="29" width="13.42578125" customWidth="1"/>
    <col min="30" max="30" width="8.42578125" customWidth="1"/>
  </cols>
  <sheetData>
    <row r="1" ht="23.25" customHeight="1" spans="1:30" x14ac:dyDescent="0.25">
      <c r="A1" s="1"/>
      <c r="B1" s="1" t="s">
        <v>0</v>
      </c>
      <c r="C1" s="2" t="s">
        <v>0</v>
      </c>
      <c r="D1" s="3"/>
      <c r="F1" s="1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5"/>
      <c r="AC1" s="1"/>
    </row>
    <row r="2" ht="12.75" customHeight="1" spans="1:30" x14ac:dyDescent="0.25">
      <c r="A2" s="6"/>
      <c r="B2" s="7"/>
      <c r="C2" s="7"/>
      <c r="D2" s="8" t="s">
        <v>1</v>
      </c>
      <c r="E2" s="9" t="s">
        <v>2</v>
      </c>
      <c r="F2" s="10" t="s">
        <v>3</v>
      </c>
      <c r="G2" s="11" t="s">
        <v>3</v>
      </c>
      <c r="H2" s="12" t="s">
        <v>4</v>
      </c>
      <c r="I2" s="11" t="s">
        <v>4</v>
      </c>
      <c r="J2" s="12" t="s">
        <v>5</v>
      </c>
      <c r="K2" s="11" t="s">
        <v>5</v>
      </c>
      <c r="L2" s="12" t="s">
        <v>6</v>
      </c>
      <c r="M2" s="11" t="s">
        <v>6</v>
      </c>
      <c r="N2" s="12" t="s">
        <v>7</v>
      </c>
      <c r="O2" s="11" t="s">
        <v>7</v>
      </c>
      <c r="P2" s="12" t="s">
        <v>8</v>
      </c>
      <c r="Q2" s="11" t="s">
        <v>8</v>
      </c>
      <c r="R2" s="12" t="s">
        <v>9</v>
      </c>
      <c r="S2" s="11" t="s">
        <v>9</v>
      </c>
      <c r="T2" s="12" t="s">
        <v>10</v>
      </c>
      <c r="U2" s="11" t="s">
        <v>10</v>
      </c>
      <c r="V2" s="13" t="s">
        <v>11</v>
      </c>
      <c r="W2" s="11" t="s">
        <v>11</v>
      </c>
      <c r="X2" s="10" t="s">
        <v>12</v>
      </c>
      <c r="Y2" s="11" t="s">
        <v>12</v>
      </c>
      <c r="Z2" s="10" t="s">
        <v>13</v>
      </c>
      <c r="AA2" s="11" t="s">
        <v>13</v>
      </c>
      <c r="AB2" s="14" t="s">
        <v>14</v>
      </c>
      <c r="AC2" s="11" t="s">
        <v>14</v>
      </c>
      <c r="AD2" s="15" t="s">
        <v>1</v>
      </c>
    </row>
    <row r="3" ht="12.75" customHeight="1" spans="1:30" x14ac:dyDescent="0.25">
      <c r="A3" s="16"/>
      <c r="B3" s="16" t="s">
        <v>15</v>
      </c>
      <c r="C3" s="16"/>
      <c r="D3" s="17"/>
      <c r="E3" s="18"/>
      <c r="F3" s="19"/>
      <c r="G3" s="20"/>
      <c r="H3" s="21"/>
      <c r="I3" s="22">
        <f>G66</f>
        <v>10000</v>
      </c>
      <c r="J3" s="21"/>
      <c r="K3" s="22">
        <f>I66</f>
        <v>10000</v>
      </c>
      <c r="L3" s="21"/>
      <c r="M3" s="22">
        <f>K66</f>
        <v>10000</v>
      </c>
      <c r="N3" s="21"/>
      <c r="O3" s="22">
        <f>M66</f>
        <v>10000</v>
      </c>
      <c r="P3" s="21"/>
      <c r="Q3" s="22">
        <f>O66</f>
        <v>10000</v>
      </c>
      <c r="R3" s="21"/>
      <c r="S3" s="22">
        <f>Q66</f>
        <v>10000</v>
      </c>
      <c r="T3" s="21"/>
      <c r="U3" s="22">
        <f>S66</f>
        <v>10000</v>
      </c>
      <c r="V3" s="23"/>
      <c r="W3" s="22">
        <f t="shared" ref="W3:Y3" si="0">U66</f>
        <v>10000</v>
      </c>
      <c r="X3" s="22" t="e">
        <f t="shared" si="0"/>
        <v>#DIV/0!</v>
      </c>
      <c r="Y3" s="22">
        <f t="shared" si="0"/>
        <v>10000</v>
      </c>
      <c r="Z3" s="23"/>
      <c r="AA3" s="22">
        <f>Y66</f>
        <v>10000</v>
      </c>
      <c r="AB3" s="23"/>
      <c r="AC3" s="22">
        <f>AA66</f>
        <v>10000</v>
      </c>
      <c r="AD3" s="18"/>
    </row>
    <row r="4" ht="12.75" customHeight="1" spans="1:30" x14ac:dyDescent="0.25">
      <c r="A4" s="24"/>
      <c r="B4" s="24" t="s">
        <v>16</v>
      </c>
      <c r="C4" s="24"/>
      <c r="D4" s="25"/>
      <c r="E4" s="26">
        <f t="shared" ref="E4:E65" si="1">G4+I4+K4+M4+O4+Q4+S4+U4+W4+Y4+AA4+AC4</f>
      </c>
      <c r="F4" s="25"/>
      <c r="G4" s="26">
        <f t="shared" ref="G4:U4" si="2">G5-G16</f>
      </c>
      <c r="H4" s="26">
        <f t="shared" si="2"/>
      </c>
      <c r="I4" s="26">
        <f t="shared" si="2"/>
      </c>
      <c r="J4" s="26">
        <f t="shared" si="2"/>
      </c>
      <c r="K4" s="26">
        <f t="shared" si="2"/>
      </c>
      <c r="L4" s="26">
        <f t="shared" si="2"/>
      </c>
      <c r="M4" s="26">
        <f t="shared" si="2"/>
      </c>
      <c r="N4" s="26">
        <f t="shared" si="2"/>
      </c>
      <c r="O4" s="26">
        <f t="shared" si="2"/>
      </c>
      <c r="P4" s="26">
        <f t="shared" si="2"/>
      </c>
      <c r="Q4" s="26">
        <f t="shared" si="2"/>
      </c>
      <c r="R4" s="26">
        <f t="shared" si="2"/>
      </c>
      <c r="S4" s="26">
        <f t="shared" si="2"/>
      </c>
      <c r="T4" s="26">
        <f t="shared" si="2"/>
      </c>
      <c r="U4" s="26">
        <f t="shared" si="2"/>
      </c>
      <c r="V4" s="26"/>
      <c r="W4" s="26">
        <f>W5-W16</f>
      </c>
      <c r="X4" s="26"/>
      <c r="Y4" s="26">
        <f>Y5-Y16</f>
      </c>
      <c r="Z4" s="25"/>
      <c r="AA4" s="26">
        <f>AA5-AA16</f>
      </c>
      <c r="AB4" s="25"/>
      <c r="AC4" s="26">
        <f>AC5-AC16</f>
      </c>
      <c r="AD4" s="26"/>
    </row>
    <row r="5" ht="12.75" customHeight="1" spans="1:30" x14ac:dyDescent="0.25">
      <c r="A5" s="24"/>
      <c r="B5" s="24" t="s">
        <v>17</v>
      </c>
      <c r="C5" s="26"/>
      <c r="D5" s="25" t="e">
        <f>E4/E5</f>
        <v>#DIV/0!</v>
      </c>
      <c r="E5" s="26">
        <f t="shared" si="1"/>
      </c>
      <c r="F5" s="25"/>
      <c r="G5" s="26">
        <f>SUBTOTAL(9,G6:G15)-G13</f>
      </c>
      <c r="H5" s="25"/>
      <c r="I5" s="26">
        <f>SUBTOTAL(9,I6:I15)-I13</f>
      </c>
      <c r="J5" s="25"/>
      <c r="K5" s="26">
        <f>SUBTOTAL(9,K6:K15)-K13</f>
      </c>
      <c r="L5" s="25"/>
      <c r="M5" s="26">
        <f>SUBTOTAL(9,M6:M15)-M13</f>
      </c>
      <c r="N5" s="25"/>
      <c r="O5" s="26">
        <f>SUBTOTAL(9,O6:O15)-O13</f>
      </c>
      <c r="P5" s="25"/>
      <c r="Q5" s="26">
        <f>SUBTOTAL(9,Q6:Q15)-Q13</f>
      </c>
      <c r="R5" s="25"/>
      <c r="S5" s="26">
        <f>SUBTOTAL(9,S6:S15)-S13</f>
      </c>
      <c r="T5" s="25"/>
      <c r="U5" s="26">
        <f>SUBTOTAL(9,U6:U15)-U13</f>
      </c>
      <c r="V5" s="26"/>
      <c r="W5" s="26">
        <f>SUBTOTAL(9,W6:W15)-W13</f>
      </c>
      <c r="X5" s="26"/>
      <c r="Y5" s="26">
        <f>SUBTOTAL(9,Y6:Y15)-Y13</f>
      </c>
      <c r="Z5" s="26"/>
      <c r="AA5" s="26">
        <f>SUBTOTAL(9,AA6:AA15)-AA13</f>
      </c>
      <c r="AB5" s="25"/>
      <c r="AC5" s="26">
        <f>SUBTOTAL(9,AC6:AC15)-AC13</f>
      </c>
      <c r="AD5" s="26"/>
    </row>
    <row r="6" ht="12.75" customHeight="1" spans="1:30" x14ac:dyDescent="0.25">
      <c r="A6" s="27"/>
      <c r="B6" s="27" t="s">
        <v>18</v>
      </c>
      <c r="C6" s="27"/>
      <c r="D6" s="28">
        <f>E6+E14+E11</f>
      </c>
      <c r="E6" s="29">
        <v>79033</v>
      </c>
      <c r="F6" s="30" t="e">
        <f>G6/$G$5</f>
        <v>#DIV/0!</v>
      </c>
      <c r="G6" s="31">
        <f>SUBTOTAL(9,$G$7:$G$9)</f>
      </c>
      <c r="H6" s="30" t="e">
        <f>I6/$I$5</f>
        <v>#DIV/0!</v>
      </c>
      <c r="I6" s="31">
        <f>SUBTOTAL(9,I7:I9)</f>
      </c>
      <c r="J6" s="30" t="e">
        <f>K6/$K$5</f>
        <v>#DIV/0!</v>
      </c>
      <c r="K6" s="31">
        <f>SUBTOTAL(9,K7:K9)</f>
      </c>
      <c r="L6" s="30" t="e">
        <f>M6/$M$5</f>
        <v>#DIV/0!</v>
      </c>
      <c r="M6" s="31">
        <f>SUBTOTAL(9,M7:M9)</f>
      </c>
      <c r="N6" s="30" t="e">
        <f>O6/$O$5</f>
        <v>#DIV/0!</v>
      </c>
      <c r="O6" s="31">
        <f>SUBTOTAL(9,O7:O9)</f>
      </c>
      <c r="P6" s="30" t="e">
        <f>Q6/$Q$5</f>
        <v>#DIV/0!</v>
      </c>
      <c r="Q6" s="31">
        <f>SUBTOTAL(9,Q7:Q9)</f>
      </c>
      <c r="R6" s="30" t="e">
        <f>S6/$S$5</f>
        <v>#DIV/0!</v>
      </c>
      <c r="S6" s="31">
        <f>SUBTOTAL(9,S7:S9)</f>
      </c>
      <c r="T6" s="30" t="e">
        <f>U6/$U$5</f>
        <v>#DIV/0!</v>
      </c>
      <c r="U6" s="31">
        <f>SUBTOTAL(9,U7:U9)</f>
      </c>
      <c r="V6" s="31"/>
      <c r="W6" s="31">
        <f t="shared" ref="W6:AC6" si="3">SUBTOTAL(9,W7:W9)</f>
      </c>
      <c r="X6" s="30">
        <f t="shared" si="3"/>
      </c>
      <c r="Y6" s="31">
        <f t="shared" si="3"/>
      </c>
      <c r="Z6" s="30">
        <f t="shared" si="3"/>
      </c>
      <c r="AA6" s="31">
        <f t="shared" si="3"/>
      </c>
      <c r="AB6" s="31">
        <f t="shared" si="3"/>
      </c>
      <c r="AC6" s="31">
        <f t="shared" si="3"/>
      </c>
      <c r="AD6" s="32" t="e">
        <f t="shared" ref="AD6:AD15" si="4">E6/$E$5</f>
        <v>#DIV/0!</v>
      </c>
    </row>
    <row r="7" ht="12.75" customHeight="1" spans="1:30" x14ac:dyDescent="0.25">
      <c r="A7" s="27" t="s">
        <v>19</v>
      </c>
      <c r="C7" s="33" t="s">
        <v>20</v>
      </c>
      <c r="D7" s="28">
        <f>E5-D6</f>
      </c>
      <c r="E7" s="34">
        <f t="shared" si="1"/>
      </c>
      <c r="F7" s="3"/>
      <c r="G7" s="35"/>
      <c r="H7" s="3"/>
      <c r="I7" s="35"/>
      <c r="J7" s="3"/>
      <c r="K7" s="35"/>
      <c r="L7" s="3"/>
      <c r="M7" s="35"/>
      <c r="N7" s="3"/>
      <c r="O7" s="35"/>
      <c r="P7" s="3"/>
      <c r="Q7" s="35"/>
      <c r="R7" s="3"/>
      <c r="S7" s="35"/>
      <c r="T7" s="3"/>
      <c r="U7" s="35"/>
      <c r="V7" s="3"/>
      <c r="W7" s="35"/>
      <c r="X7" s="3"/>
      <c r="Y7" s="35"/>
      <c r="Z7" s="3"/>
      <c r="AA7" s="35"/>
      <c r="AB7" s="3"/>
      <c r="AC7" s="35"/>
      <c r="AD7" s="36" t="e">
        <f t="shared" si="4"/>
        <v>#DIV/0!</v>
      </c>
    </row>
    <row r="8" ht="12.75" customHeight="1" spans="1:30" x14ac:dyDescent="0.25">
      <c r="C8" s="33" t="s">
        <v>21</v>
      </c>
      <c r="D8" s="36"/>
      <c r="E8" s="34">
        <f t="shared" si="1"/>
      </c>
      <c r="F8" s="3"/>
      <c r="G8" s="35"/>
      <c r="H8" s="3"/>
      <c r="I8" s="35"/>
      <c r="J8" s="3"/>
      <c r="K8" s="35"/>
      <c r="L8" s="3"/>
      <c r="M8" s="35"/>
      <c r="N8" s="3"/>
      <c r="O8" s="35"/>
      <c r="P8" s="3"/>
      <c r="Q8" s="35"/>
      <c r="R8" s="3"/>
      <c r="S8" s="35"/>
      <c r="T8" s="3"/>
      <c r="U8" s="35"/>
      <c r="V8" s="3"/>
      <c r="W8" s="35"/>
      <c r="X8" s="3"/>
      <c r="Y8" s="35"/>
      <c r="Z8" s="3"/>
      <c r="AA8" s="35"/>
      <c r="AB8" s="3"/>
      <c r="AC8" s="35"/>
      <c r="AD8" s="36" t="e">
        <f t="shared" si="4"/>
        <v>#DIV/0!</v>
      </c>
    </row>
    <row r="9" ht="12.75" customHeight="1" spans="1:30" x14ac:dyDescent="0.25">
      <c r="C9" s="33" t="s">
        <v>22</v>
      </c>
      <c r="D9" s="28">
        <f>D7-D6</f>
      </c>
      <c r="E9" s="34">
        <f t="shared" si="1"/>
      </c>
      <c r="F9" s="3"/>
      <c r="G9" s="35"/>
      <c r="H9" s="3"/>
      <c r="I9" s="35"/>
      <c r="J9" s="35"/>
      <c r="K9" s="35"/>
      <c r="L9" s="3"/>
      <c r="M9" s="35"/>
      <c r="N9" s="3"/>
      <c r="O9" s="35"/>
      <c r="P9" s="3"/>
      <c r="Q9" s="35"/>
      <c r="R9" s="3"/>
      <c r="S9" s="35"/>
      <c r="T9" s="3"/>
      <c r="U9" s="35"/>
      <c r="V9" s="3"/>
      <c r="W9" s="35"/>
      <c r="X9" s="3"/>
      <c r="Y9" s="3"/>
      <c r="Z9" s="3"/>
      <c r="AA9" s="35"/>
      <c r="AB9" s="3"/>
      <c r="AC9" s="35"/>
      <c r="AD9" s="36" t="e">
        <f t="shared" si="4"/>
        <v>#DIV/0!</v>
      </c>
    </row>
    <row r="10" ht="12.75" customHeight="1" spans="1:30" x14ac:dyDescent="0.25">
      <c r="A10" s="27"/>
      <c r="B10" s="27" t="s">
        <v>23</v>
      </c>
      <c r="C10" s="27"/>
      <c r="D10" s="32"/>
      <c r="E10" s="29">
        <f t="shared" si="1"/>
      </c>
      <c r="F10" s="30"/>
      <c r="G10" s="35"/>
      <c r="H10" s="3"/>
      <c r="I10" s="35"/>
      <c r="J10" s="3"/>
      <c r="K10" s="37"/>
      <c r="L10" s="3"/>
      <c r="M10" s="35"/>
      <c r="N10" s="3"/>
      <c r="O10" s="35"/>
      <c r="P10" s="3"/>
      <c r="Q10" s="35"/>
      <c r="R10" s="3"/>
      <c r="S10" s="35"/>
      <c r="T10" s="3"/>
      <c r="U10" s="35"/>
      <c r="V10" s="3"/>
      <c r="W10" s="35"/>
      <c r="X10" s="3"/>
      <c r="Y10" s="3"/>
      <c r="Z10" s="3"/>
      <c r="AA10" s="35"/>
      <c r="AB10" s="3"/>
      <c r="AC10" s="35"/>
      <c r="AD10" s="32" t="e">
        <f t="shared" si="4"/>
        <v>#DIV/0!</v>
      </c>
    </row>
    <row r="11" ht="12.75" customHeight="1" spans="1:30" x14ac:dyDescent="0.25">
      <c r="A11" s="27"/>
      <c r="B11" s="27" t="s">
        <v>24</v>
      </c>
      <c r="C11" s="27"/>
      <c r="D11" s="32"/>
      <c r="E11" s="29">
        <f t="shared" si="1"/>
      </c>
      <c r="F11" s="30"/>
      <c r="G11" s="35"/>
      <c r="H11" s="3"/>
      <c r="I11" s="35"/>
      <c r="J11" s="3"/>
      <c r="K11" s="37"/>
      <c r="L11" s="3"/>
      <c r="M11" s="35"/>
      <c r="N11" s="3"/>
      <c r="O11" s="35"/>
      <c r="P11" s="3"/>
      <c r="Q11" s="35"/>
      <c r="R11" s="3"/>
      <c r="S11" s="35"/>
      <c r="T11" s="3"/>
      <c r="U11" s="35"/>
      <c r="V11" s="3"/>
      <c r="W11" s="35"/>
      <c r="X11" s="3"/>
      <c r="Y11" s="3"/>
      <c r="Z11" s="3"/>
      <c r="AA11" s="35"/>
      <c r="AB11" s="3"/>
      <c r="AC11" s="35"/>
      <c r="AD11" s="32" t="e">
        <f t="shared" si="4"/>
        <v>#DIV/0!</v>
      </c>
    </row>
    <row r="12" ht="12.75" customHeight="1" spans="1:30" x14ac:dyDescent="0.25">
      <c r="A12" s="27" t="s">
        <v>25</v>
      </c>
      <c r="B12" s="27" t="s">
        <v>26</v>
      </c>
      <c r="C12" s="33" t="s">
        <v>27</v>
      </c>
      <c r="D12" s="32"/>
      <c r="E12" s="29">
        <v>538</v>
      </c>
      <c r="F12" s="30"/>
      <c r="G12" s="35"/>
      <c r="H12" s="3"/>
      <c r="I12" s="35"/>
      <c r="J12" s="3"/>
      <c r="K12" s="37"/>
      <c r="L12" s="3"/>
      <c r="M12" s="35"/>
      <c r="N12" s="3"/>
      <c r="O12" s="35"/>
      <c r="P12" s="3"/>
      <c r="Q12" s="35"/>
      <c r="R12" s="3"/>
      <c r="S12" s="35"/>
      <c r="T12" s="3"/>
      <c r="U12" s="35"/>
      <c r="V12" s="3"/>
      <c r="W12" s="35"/>
      <c r="X12" s="3"/>
      <c r="Y12" s="3"/>
      <c r="Z12" s="3"/>
      <c r="AA12" s="35"/>
      <c r="AB12" s="3"/>
      <c r="AC12" s="35"/>
      <c r="AD12" s="32" t="e">
        <f t="shared" si="4"/>
        <v>#DIV/0!</v>
      </c>
    </row>
    <row r="13" ht="12.75" customHeight="1" spans="1:30" x14ac:dyDescent="0.25">
      <c r="A13" s="38"/>
      <c r="B13" s="38" t="s">
        <v>28</v>
      </c>
      <c r="C13" s="39">
        <f>E14+E15</f>
      </c>
      <c r="D13" s="40"/>
      <c r="E13" s="41">
        <f t="shared" si="1"/>
      </c>
      <c r="F13" s="42"/>
      <c r="G13" s="35"/>
      <c r="H13" s="3"/>
      <c r="I13" s="35"/>
      <c r="J13" s="3"/>
      <c r="K13" s="37"/>
      <c r="L13" s="3"/>
      <c r="M13" s="35"/>
      <c r="N13" s="3"/>
      <c r="O13" s="35"/>
      <c r="P13" s="3"/>
      <c r="Q13" s="35"/>
      <c r="R13" s="3"/>
      <c r="S13" s="35"/>
      <c r="T13" s="3"/>
      <c r="U13" s="35"/>
      <c r="V13" s="3"/>
      <c r="W13" s="35"/>
      <c r="X13" s="3"/>
      <c r="Y13" s="3"/>
      <c r="Z13" s="3"/>
      <c r="AA13" s="35"/>
      <c r="AB13" s="3"/>
      <c r="AC13" s="35"/>
      <c r="AD13" s="40" t="e">
        <f t="shared" si="4"/>
        <v>#DIV/0!</v>
      </c>
    </row>
    <row r="14" ht="12.75" customHeight="1" spans="1:30" x14ac:dyDescent="0.25">
      <c r="A14" s="27" t="s">
        <v>29</v>
      </c>
      <c r="B14" s="27" t="s">
        <v>30</v>
      </c>
      <c r="C14" s="33" t="s">
        <v>31</v>
      </c>
      <c r="D14" s="32"/>
      <c r="E14" s="29">
        <f t="shared" si="1"/>
      </c>
      <c r="F14" s="30"/>
      <c r="G14" s="35"/>
      <c r="H14" s="3"/>
      <c r="I14" s="35"/>
      <c r="J14" s="3"/>
      <c r="K14" s="37"/>
      <c r="L14" s="3"/>
      <c r="M14" s="35"/>
      <c r="N14" s="3"/>
      <c r="O14" s="35"/>
      <c r="P14" s="3"/>
      <c r="Q14" s="35"/>
      <c r="R14" s="3"/>
      <c r="S14" s="35"/>
      <c r="T14" s="3"/>
      <c r="U14" s="35"/>
      <c r="V14" s="3"/>
      <c r="W14" s="35"/>
      <c r="X14" s="3"/>
      <c r="Y14" s="3"/>
      <c r="Z14" s="3"/>
      <c r="AA14" s="35"/>
      <c r="AB14" s="3"/>
      <c r="AC14" s="35"/>
      <c r="AD14" s="32" t="e">
        <f t="shared" si="4"/>
        <v>#DIV/0!</v>
      </c>
    </row>
    <row r="15" ht="12.75" customHeight="1" spans="1:30" x14ac:dyDescent="0.25">
      <c r="A15" s="27" t="s">
        <v>32</v>
      </c>
      <c r="B15" s="27"/>
      <c r="C15" s="33" t="s">
        <v>33</v>
      </c>
      <c r="D15" s="32"/>
      <c r="E15" s="29">
        <f t="shared" si="1"/>
      </c>
      <c r="F15" s="30"/>
      <c r="G15" s="35"/>
      <c r="H15" s="30"/>
      <c r="I15" s="35"/>
      <c r="J15" s="30"/>
      <c r="K15" s="31"/>
      <c r="L15" s="30"/>
      <c r="M15" s="31"/>
      <c r="N15" s="30"/>
      <c r="O15" s="31"/>
      <c r="P15" s="30"/>
      <c r="Q15" s="31"/>
      <c r="R15" s="30"/>
      <c r="S15" s="31"/>
      <c r="T15" s="30"/>
      <c r="U15" s="31"/>
      <c r="V15" s="30"/>
      <c r="W15" s="31"/>
      <c r="X15" s="30"/>
      <c r="Y15" s="31"/>
      <c r="Z15" s="30"/>
      <c r="AA15" s="31"/>
      <c r="AB15" s="30"/>
      <c r="AC15" s="31"/>
      <c r="AD15" s="32" t="e">
        <f t="shared" si="4"/>
        <v>#DIV/0!</v>
      </c>
    </row>
    <row r="16" ht="12.75" customHeight="1" spans="1:30" x14ac:dyDescent="0.25">
      <c r="A16" s="24"/>
      <c r="B16" s="24" t="s">
        <v>34</v>
      </c>
      <c r="C16" s="26"/>
      <c r="D16" s="34"/>
      <c r="E16" s="26">
        <f t="shared" si="1"/>
      </c>
      <c r="F16" s="25"/>
      <c r="G16" s="26">
        <f>SUBTOTAL(9,G17:G65)</f>
      </c>
      <c r="H16" s="26">
        <f t="shared" ref="H16:AC16" si="5">SUBTOTAL(9,H17:H65)</f>
      </c>
      <c r="I16" s="26">
        <f t="shared" si="5"/>
      </c>
      <c r="J16" s="26">
        <f t="shared" si="5"/>
      </c>
      <c r="K16" s="26">
        <f t="shared" si="5"/>
      </c>
      <c r="L16" s="26">
        <f t="shared" si="5"/>
      </c>
      <c r="M16" s="26">
        <f t="shared" si="5"/>
      </c>
      <c r="N16" s="26">
        <f t="shared" si="5"/>
      </c>
      <c r="O16" s="26">
        <f t="shared" si="5"/>
      </c>
      <c r="P16" s="26">
        <f t="shared" si="5"/>
      </c>
      <c r="Q16" s="26">
        <f t="shared" si="5"/>
      </c>
      <c r="R16" s="26">
        <f t="shared" si="5"/>
      </c>
      <c r="S16" s="26">
        <f t="shared" si="5"/>
      </c>
      <c r="T16" s="26">
        <f t="shared" si="5"/>
      </c>
      <c r="U16" s="26">
        <f t="shared" si="5"/>
      </c>
      <c r="V16" s="26" t="e">
        <f t="shared" si="5"/>
        <v>#DIV/0!</v>
      </c>
      <c r="W16" s="26">
        <f t="shared" si="5"/>
      </c>
      <c r="X16" s="26">
        <f t="shared" si="5"/>
      </c>
      <c r="Y16" s="26">
        <f t="shared" si="5"/>
      </c>
      <c r="Z16" s="26" t="e">
        <f t="shared" si="5"/>
        <v>#DIV/0!</v>
      </c>
      <c r="AA16" s="26">
        <f t="shared" si="5"/>
      </c>
      <c r="AB16" s="26">
        <f t="shared" si="5"/>
      </c>
      <c r="AC16" s="26">
        <f t="shared" si="5"/>
      </c>
      <c r="AD16" s="26"/>
    </row>
    <row r="17" ht="12.75" customHeight="1" spans="1:30" x14ac:dyDescent="0.25">
      <c r="A17" s="27"/>
      <c r="B17" s="27" t="s">
        <v>35</v>
      </c>
      <c r="C17" s="31"/>
      <c r="D17" s="32" t="e">
        <f t="shared" ref="D17:D28" si="6">E17/$E$5</f>
        <v>#DIV/0!</v>
      </c>
      <c r="E17" s="29">
        <v>-160277</v>
      </c>
      <c r="F17" s="30"/>
      <c r="G17" s="31">
        <f t="shared" ref="G17:U17" si="7">SUBTOTAL(9,G18:G22)</f>
      </c>
      <c r="H17" s="30">
        <f t="shared" si="7"/>
      </c>
      <c r="I17" s="31">
        <f t="shared" si="7"/>
      </c>
      <c r="J17" s="30">
        <f t="shared" si="7"/>
      </c>
      <c r="K17" s="31">
        <f t="shared" si="7"/>
      </c>
      <c r="L17" s="30">
        <f t="shared" si="7"/>
      </c>
      <c r="M17" s="31">
        <f t="shared" si="7"/>
      </c>
      <c r="N17" s="30">
        <f t="shared" si="7"/>
      </c>
      <c r="O17" s="31">
        <f t="shared" si="7"/>
      </c>
      <c r="P17" s="31">
        <f t="shared" si="7"/>
      </c>
      <c r="Q17" s="31">
        <f t="shared" si="7"/>
      </c>
      <c r="R17" s="31">
        <f t="shared" si="7"/>
      </c>
      <c r="S17" s="31">
        <f t="shared" si="7"/>
      </c>
      <c r="T17" s="30">
        <f t="shared" si="7"/>
      </c>
      <c r="U17" s="31">
        <f t="shared" si="7"/>
      </c>
      <c r="V17" s="3" t="e">
        <f>W17/$W$6</f>
        <v>#DIV/0!</v>
      </c>
      <c r="W17" s="31">
        <f t="shared" ref="W17:Y17" si="8">SUBTOTAL(9,W18:W22)</f>
      </c>
      <c r="X17" s="30">
        <f t="shared" si="8"/>
      </c>
      <c r="Y17" s="31">
        <f t="shared" si="8"/>
      </c>
      <c r="Z17" s="3" t="e">
        <f>AA17/$AA$6</f>
        <v>#DIV/0!</v>
      </c>
      <c r="AA17" s="31">
        <f t="shared" ref="AA17:AC17" si="9">SUBTOTAL(9,AA18:AA22)</f>
      </c>
      <c r="AB17" s="31">
        <f t="shared" si="9"/>
      </c>
      <c r="AC17" s="31">
        <f t="shared" si="9"/>
      </c>
      <c r="AD17" s="32" t="e">
        <f t="shared" ref="AD17:AD62" si="10">E17/$E$5</f>
        <v>#DIV/0!</v>
      </c>
    </row>
    <row r="18" ht="12.75" customHeight="1" spans="1:30" x14ac:dyDescent="0.25">
      <c r="B18" s="43"/>
      <c r="C18" s="33" t="s">
        <v>36</v>
      </c>
      <c r="D18" s="36" t="e">
        <f t="shared" si="6"/>
        <v>#DIV/0!</v>
      </c>
      <c r="E18" s="34">
        <f t="shared" si="1"/>
      </c>
      <c r="F18" s="3"/>
      <c r="G18" s="35"/>
      <c r="H18" s="3"/>
      <c r="I18" s="35"/>
      <c r="J18" s="3"/>
      <c r="K18" s="35"/>
      <c r="L18" s="3"/>
      <c r="M18" s="35"/>
      <c r="N18" s="3"/>
      <c r="O18" s="35"/>
      <c r="P18" s="3"/>
      <c r="Q18" s="35"/>
      <c r="R18" s="3"/>
      <c r="S18" s="35"/>
      <c r="T18" s="3"/>
      <c r="U18" s="35"/>
      <c r="V18" s="3"/>
      <c r="W18" s="35"/>
      <c r="X18" s="3"/>
      <c r="Y18" s="35"/>
      <c r="Z18" s="3"/>
      <c r="AA18" s="35"/>
      <c r="AB18" s="30"/>
      <c r="AC18" s="35"/>
      <c r="AD18" s="36" t="e">
        <f t="shared" si="10"/>
        <v>#DIV/0!</v>
      </c>
    </row>
    <row r="19" ht="12.75" customHeight="1" spans="1:30" x14ac:dyDescent="0.25">
      <c r="B19" s="33"/>
      <c r="C19" s="33" t="s">
        <v>37</v>
      </c>
      <c r="D19" s="36" t="e">
        <f t="shared" si="6"/>
        <v>#DIV/0!</v>
      </c>
      <c r="E19" s="34">
        <f t="shared" si="1"/>
      </c>
      <c r="F19" s="3"/>
      <c r="G19" s="35"/>
      <c r="H19" s="3"/>
      <c r="I19" s="35"/>
      <c r="J19" s="3"/>
      <c r="K19" s="35"/>
      <c r="L19" s="3"/>
      <c r="M19" s="35"/>
      <c r="N19" s="3"/>
      <c r="O19" s="35"/>
      <c r="P19" s="3"/>
      <c r="Q19" s="35"/>
      <c r="R19" s="35"/>
      <c r="S19" s="35"/>
      <c r="T19" s="3"/>
      <c r="U19" s="35"/>
      <c r="V19" s="3"/>
      <c r="W19" s="35"/>
      <c r="X19" s="3"/>
      <c r="Y19" s="35"/>
      <c r="Z19" s="3"/>
      <c r="AA19" s="35"/>
      <c r="AB19" s="30"/>
      <c r="AC19" s="35"/>
      <c r="AD19" s="36" t="e">
        <f t="shared" si="10"/>
        <v>#DIV/0!</v>
      </c>
    </row>
    <row r="20" ht="12.75" customHeight="1" spans="1:30" x14ac:dyDescent="0.25">
      <c r="B20" s="33"/>
      <c r="C20" s="33" t="s">
        <v>38</v>
      </c>
      <c r="D20" s="36" t="e">
        <f t="shared" si="6"/>
        <v>#DIV/0!</v>
      </c>
      <c r="E20" s="34">
        <f t="shared" si="1"/>
      </c>
      <c r="F20" s="3"/>
      <c r="G20" s="35"/>
      <c r="H20" s="3"/>
      <c r="I20" s="35"/>
      <c r="J20" s="3"/>
      <c r="K20" s="35"/>
      <c r="L20" s="3"/>
      <c r="M20" s="35"/>
      <c r="N20" s="3"/>
      <c r="O20" s="35"/>
      <c r="P20" s="3"/>
      <c r="Q20" s="35"/>
      <c r="R20" s="35"/>
      <c r="S20" s="35"/>
      <c r="T20" s="3"/>
      <c r="U20" s="35"/>
      <c r="V20" s="3"/>
      <c r="W20" s="35"/>
      <c r="X20" s="3"/>
      <c r="Y20" s="35"/>
      <c r="Z20" s="3"/>
      <c r="AA20" s="35"/>
      <c r="AB20" s="30"/>
      <c r="AC20" s="35"/>
      <c r="AD20" s="36" t="e">
        <f t="shared" si="10"/>
        <v>#DIV/0!</v>
      </c>
    </row>
    <row r="21" ht="12.75" customHeight="1" spans="1:30" x14ac:dyDescent="0.25">
      <c r="B21" s="33"/>
      <c r="C21" s="33" t="s">
        <v>39</v>
      </c>
      <c r="D21" s="36" t="e">
        <f t="shared" si="6"/>
        <v>#DIV/0!</v>
      </c>
      <c r="E21" s="34">
        <f t="shared" si="1"/>
      </c>
      <c r="F21" s="3"/>
      <c r="G21" s="35"/>
      <c r="H21" s="3"/>
      <c r="I21" s="35"/>
      <c r="J21" s="3"/>
      <c r="K21" s="35"/>
      <c r="L21" s="3"/>
      <c r="M21" s="35"/>
      <c r="N21" s="3"/>
      <c r="O21" s="44"/>
      <c r="P21" s="3"/>
      <c r="Q21" s="35"/>
      <c r="R21" s="3"/>
      <c r="S21" s="35"/>
      <c r="T21" s="3"/>
      <c r="U21" s="35"/>
      <c r="V21" s="3"/>
      <c r="W21" s="35"/>
      <c r="X21" s="3"/>
      <c r="Y21" s="35"/>
      <c r="Z21" s="3"/>
      <c r="AA21" s="35"/>
      <c r="AB21" s="30"/>
      <c r="AC21" s="35"/>
      <c r="AD21" s="36" t="e">
        <f t="shared" si="10"/>
        <v>#DIV/0!</v>
      </c>
    </row>
    <row r="22" ht="12.75" customHeight="1" spans="1:30" x14ac:dyDescent="0.25">
      <c r="B22" s="43"/>
      <c r="C22" s="33" t="s">
        <v>40</v>
      </c>
      <c r="D22" s="36" t="e">
        <f t="shared" si="6"/>
        <v>#DIV/0!</v>
      </c>
      <c r="E22" s="34">
        <f t="shared" si="1"/>
      </c>
      <c r="F22" s="3"/>
      <c r="G22" s="35"/>
      <c r="H22" s="3"/>
      <c r="I22" s="35"/>
      <c r="J22" s="3"/>
      <c r="K22" s="35"/>
      <c r="L22" s="3"/>
      <c r="M22" s="35"/>
      <c r="N22" s="3"/>
      <c r="O22" s="44"/>
      <c r="P22" s="3"/>
      <c r="Q22" s="35"/>
      <c r="R22" s="3"/>
      <c r="S22" s="35"/>
      <c r="T22" s="3"/>
      <c r="U22" s="35"/>
      <c r="V22" s="3"/>
      <c r="W22" s="35"/>
      <c r="X22" s="3"/>
      <c r="Y22" s="35"/>
      <c r="Z22" s="3"/>
      <c r="AA22" s="35"/>
      <c r="AB22" s="30"/>
      <c r="AC22" s="35"/>
      <c r="AD22" s="36" t="e">
        <f t="shared" si="10"/>
        <v>#DIV/0!</v>
      </c>
    </row>
    <row r="23" ht="12.75" customHeight="1" spans="1:30" x14ac:dyDescent="0.25">
      <c r="B23" s="45" t="s">
        <v>41</v>
      </c>
      <c r="C23" s="46"/>
      <c r="D23" s="32" t="e">
        <f t="shared" si="6"/>
        <v>#DIV/0!</v>
      </c>
      <c r="E23" s="29">
        <v>-591650</v>
      </c>
      <c r="F23" s="30"/>
      <c r="G23" s="31">
        <f t="shared" ref="G23:J23" si="11">SUBTOTAL(9,G24:G26)</f>
      </c>
      <c r="H23" s="30">
        <f t="shared" si="11"/>
      </c>
      <c r="I23" s="31">
        <f t="shared" si="11"/>
      </c>
      <c r="J23" s="30">
        <f t="shared" si="11"/>
      </c>
      <c r="K23" s="31">
        <f>SUBTOTAL(9,K24:K27)</f>
      </c>
      <c r="L23" s="30">
        <f t="shared" ref="L23:N23" si="12">SUBTOTAL(9,L24:L26)</f>
      </c>
      <c r="M23" s="31">
        <f t="shared" si="12"/>
      </c>
      <c r="N23" s="30">
        <f t="shared" si="12"/>
      </c>
      <c r="O23" s="31">
        <f t="shared" ref="O23:S23" si="13">SUBTOTAL(9,O24:O27)</f>
      </c>
      <c r="P23" s="31">
        <f t="shared" si="13"/>
      </c>
      <c r="Q23" s="31">
        <f t="shared" si="13"/>
      </c>
      <c r="R23" s="31">
        <f t="shared" si="13"/>
      </c>
      <c r="S23" s="31">
        <f t="shared" si="13"/>
      </c>
      <c r="T23" s="30">
        <f t="shared" ref="T23:U23" si="14">SUBTOTAL(9,T24:T26)</f>
      </c>
      <c r="U23" s="31">
        <f t="shared" si="14"/>
      </c>
      <c r="V23" s="30" t="e">
        <f>W23/$W$6</f>
        <v>#DIV/0!</v>
      </c>
      <c r="W23" s="31">
        <f t="shared" ref="W23:Y23" si="15">SUBTOTAL(9,W24:W26)</f>
      </c>
      <c r="X23" s="30">
        <f t="shared" si="15"/>
      </c>
      <c r="Y23" s="31">
        <f t="shared" si="15"/>
      </c>
      <c r="Z23" s="30" t="e">
        <f>AA23/$AA$6</f>
        <v>#DIV/0!</v>
      </c>
      <c r="AA23" s="31">
        <f t="shared" ref="AA23:AC23" si="16">SUBTOTAL(9,AA24:AA26)</f>
      </c>
      <c r="AB23" s="31">
        <f t="shared" si="16"/>
      </c>
      <c r="AC23" s="31">
        <f t="shared" si="16"/>
      </c>
      <c r="AD23" s="32" t="e">
        <f t="shared" si="10"/>
        <v>#DIV/0!</v>
      </c>
    </row>
    <row r="24" ht="12.75" customHeight="1" spans="1:30" x14ac:dyDescent="0.25">
      <c r="A24" s="33" t="s">
        <v>42</v>
      </c>
      <c r="B24" s="43"/>
      <c r="C24" s="46" t="s">
        <v>43</v>
      </c>
      <c r="D24" s="36" t="e">
        <f t="shared" si="6"/>
        <v>#DIV/0!</v>
      </c>
      <c r="E24" s="34">
        <f t="shared" si="1"/>
      </c>
      <c r="F24" s="3"/>
      <c r="G24" s="35"/>
      <c r="H24" s="3"/>
      <c r="I24" s="35"/>
      <c r="J24" s="3"/>
      <c r="K24" s="35"/>
      <c r="L24" s="3"/>
      <c r="M24" s="35"/>
      <c r="N24" s="3"/>
      <c r="O24" s="44"/>
      <c r="P24" s="3"/>
      <c r="Q24" s="35"/>
      <c r="R24" s="3"/>
      <c r="S24" s="35"/>
      <c r="T24" s="3"/>
      <c r="U24" s="35"/>
      <c r="V24" s="3"/>
      <c r="W24" s="35"/>
      <c r="X24" s="3"/>
      <c r="Y24" s="35"/>
      <c r="Z24" s="3"/>
      <c r="AA24" s="35"/>
      <c r="AB24" s="30"/>
      <c r="AC24" s="35"/>
      <c r="AD24" s="36" t="e">
        <f t="shared" si="10"/>
        <v>#DIV/0!</v>
      </c>
    </row>
    <row r="25" ht="12.75" customHeight="1" spans="1:30" x14ac:dyDescent="0.25">
      <c r="B25" s="43"/>
      <c r="C25" s="33" t="s">
        <v>44</v>
      </c>
      <c r="D25" s="36" t="e">
        <f t="shared" si="6"/>
        <v>#DIV/0!</v>
      </c>
      <c r="E25" s="34">
        <f t="shared" si="1"/>
      </c>
      <c r="F25" s="3"/>
      <c r="G25" s="35"/>
      <c r="H25" s="3"/>
      <c r="I25" s="35"/>
      <c r="J25" s="3"/>
      <c r="K25" s="35"/>
      <c r="L25" s="3"/>
      <c r="M25" s="35"/>
      <c r="N25" s="3"/>
      <c r="O25" s="44"/>
      <c r="P25" s="3"/>
      <c r="Q25" s="35"/>
      <c r="R25" s="35"/>
      <c r="S25" s="35"/>
      <c r="T25" s="3"/>
      <c r="U25" s="35"/>
      <c r="V25" s="3"/>
      <c r="W25" s="35"/>
      <c r="X25" s="3"/>
      <c r="Y25" s="35"/>
      <c r="Z25" s="3"/>
      <c r="AA25" s="35"/>
      <c r="AB25" s="30"/>
      <c r="AC25" s="35"/>
      <c r="AD25" s="36" t="e">
        <f t="shared" si="10"/>
        <v>#DIV/0!</v>
      </c>
    </row>
    <row r="26" ht="12.75" customHeight="1" spans="1:30" x14ac:dyDescent="0.25">
      <c r="B26" s="43"/>
      <c r="C26" s="33" t="s">
        <v>45</v>
      </c>
      <c r="D26" s="36" t="e">
        <f t="shared" si="6"/>
        <v>#DIV/0!</v>
      </c>
      <c r="E26" s="34">
        <f t="shared" si="1"/>
      </c>
      <c r="F26" s="3"/>
      <c r="G26" s="35"/>
      <c r="H26" s="3"/>
      <c r="I26" s="35"/>
      <c r="J26" s="3"/>
      <c r="K26" s="35"/>
      <c r="L26" s="3"/>
      <c r="M26" s="35"/>
      <c r="N26" s="3"/>
      <c r="O26" s="44"/>
      <c r="P26" s="3"/>
      <c r="Q26" s="35"/>
      <c r="R26" s="3"/>
      <c r="S26" s="35"/>
      <c r="T26" s="3"/>
      <c r="U26" s="35"/>
      <c r="V26" s="3"/>
      <c r="W26" s="35"/>
      <c r="X26" s="3"/>
      <c r="Y26" s="35"/>
      <c r="Z26" s="3"/>
      <c r="AA26" s="35"/>
      <c r="AB26" s="30"/>
      <c r="AC26" s="35"/>
      <c r="AD26" s="36" t="e">
        <f t="shared" si="10"/>
        <v>#DIV/0!</v>
      </c>
    </row>
    <row r="27" ht="12.75" customHeight="1" spans="1:30" x14ac:dyDescent="0.25">
      <c r="B27" s="47"/>
      <c r="C27" s="33" t="s">
        <v>46</v>
      </c>
      <c r="D27" s="36" t="e">
        <f t="shared" si="6"/>
        <v>#DIV/0!</v>
      </c>
      <c r="E27" s="34">
        <f t="shared" si="1"/>
      </c>
      <c r="F27" s="3"/>
      <c r="G27" s="35"/>
      <c r="H27" s="3"/>
      <c r="I27" s="35"/>
      <c r="J27" s="3"/>
      <c r="K27" s="35"/>
      <c r="L27" s="3"/>
      <c r="M27" s="35"/>
      <c r="N27" s="3"/>
      <c r="O27" s="44"/>
      <c r="P27" s="3"/>
      <c r="Q27" s="35"/>
      <c r="R27" s="3"/>
      <c r="S27" s="35"/>
      <c r="T27" s="3"/>
      <c r="U27" s="35"/>
      <c r="V27" s="3"/>
      <c r="W27" s="35"/>
      <c r="X27" s="3"/>
      <c r="Y27" s="35"/>
      <c r="Z27" s="3"/>
      <c r="AA27" s="35"/>
      <c r="AB27" s="30"/>
      <c r="AC27" s="35"/>
      <c r="AD27" s="36" t="e">
        <f t="shared" si="10"/>
        <v>#DIV/0!</v>
      </c>
    </row>
    <row r="28" ht="12.75" customHeight="1" spans="1:30" x14ac:dyDescent="0.25">
      <c r="B28" s="48" t="s">
        <v>47</v>
      </c>
      <c r="C28" s="27"/>
      <c r="D28" s="36" t="e">
        <f t="shared" si="6"/>
        <v>#DIV/0!</v>
      </c>
      <c r="E28" s="29">
        <v>-1548</v>
      </c>
      <c r="F28" s="30"/>
      <c r="G28" s="31">
        <f t="shared" ref="G28:U28" si="17">SUBTOTAL(9,G29:G30)</f>
      </c>
      <c r="H28" s="30">
        <f t="shared" si="17"/>
      </c>
      <c r="I28" s="31">
        <f t="shared" si="17"/>
      </c>
      <c r="J28" s="30">
        <f t="shared" si="17"/>
      </c>
      <c r="K28" s="31">
        <f t="shared" si="17"/>
      </c>
      <c r="L28" s="30">
        <f t="shared" si="17"/>
      </c>
      <c r="M28" s="31">
        <f t="shared" si="17"/>
      </c>
      <c r="N28" s="30">
        <f t="shared" si="17"/>
      </c>
      <c r="O28" s="31">
        <f t="shared" si="17"/>
      </c>
      <c r="P28" s="30">
        <f t="shared" si="17"/>
      </c>
      <c r="Q28" s="31">
        <f t="shared" si="17"/>
      </c>
      <c r="R28" s="30">
        <f t="shared" si="17"/>
      </c>
      <c r="S28" s="31">
        <f t="shared" si="17"/>
      </c>
      <c r="T28" s="30">
        <f t="shared" si="17"/>
      </c>
      <c r="U28" s="31">
        <f t="shared" si="17"/>
      </c>
      <c r="V28" s="30" t="e">
        <f>W28/$W$6</f>
        <v>#DIV/0!</v>
      </c>
      <c r="W28" s="31">
        <f t="shared" ref="W28:Y28" si="18">SUBTOTAL(9,W29:W30)</f>
      </c>
      <c r="X28" s="30">
        <f t="shared" si="18"/>
      </c>
      <c r="Y28" s="31">
        <f t="shared" si="18"/>
      </c>
      <c r="Z28" s="3" t="e">
        <f>AA28/$AA$6</f>
        <v>#DIV/0!</v>
      </c>
      <c r="AA28" s="31">
        <f t="shared" ref="AA28:AC28" si="19">SUBTOTAL(9,AA29:AA30)</f>
      </c>
      <c r="AB28" s="31">
        <f t="shared" si="19"/>
      </c>
      <c r="AC28" s="31">
        <f t="shared" si="19"/>
      </c>
      <c r="AD28" s="32" t="e">
        <f t="shared" si="10"/>
        <v>#DIV/0!</v>
      </c>
    </row>
    <row r="29" ht="12.75" customHeight="1" spans="1:30" x14ac:dyDescent="0.25">
      <c r="B29" s="43"/>
      <c r="C29" s="33" t="s">
        <v>48</v>
      </c>
      <c r="D29" s="36" t="e">
        <f t="shared" ref="D29:D30" si="20">E29/$E$6</f>
        <v>#DIV/0!</v>
      </c>
      <c r="E29" s="34">
        <f t="shared" si="1"/>
      </c>
      <c r="F29" s="3"/>
      <c r="G29" s="35"/>
      <c r="H29" s="3"/>
      <c r="I29" s="35"/>
      <c r="J29" s="3"/>
      <c r="K29" s="35"/>
      <c r="L29" s="3"/>
      <c r="M29" s="35"/>
      <c r="N29" s="3"/>
      <c r="O29" s="44"/>
      <c r="P29" s="3"/>
      <c r="Q29" s="35"/>
      <c r="R29" s="3"/>
      <c r="S29" s="35"/>
      <c r="T29" s="3"/>
      <c r="U29" s="35"/>
      <c r="V29" s="3"/>
      <c r="W29" s="35"/>
      <c r="X29" s="3"/>
      <c r="Y29" s="35"/>
      <c r="Z29" s="3"/>
      <c r="AA29" s="35"/>
      <c r="AB29" s="30"/>
      <c r="AC29" s="35"/>
      <c r="AD29" s="36" t="e">
        <f t="shared" si="10"/>
        <v>#DIV/0!</v>
      </c>
    </row>
    <row r="30" ht="12.75" customHeight="1" spans="1:30" x14ac:dyDescent="0.25">
      <c r="A30" s="33"/>
      <c r="B30" s="43"/>
      <c r="C30" s="33" t="s">
        <v>49</v>
      </c>
      <c r="D30" s="36" t="e">
        <f t="shared" si="20"/>
        <v>#DIV/0!</v>
      </c>
      <c r="E30" s="34">
        <f t="shared" si="1"/>
      </c>
      <c r="F30" s="3"/>
      <c r="G30" s="35"/>
      <c r="H30" s="3"/>
      <c r="I30" s="35"/>
      <c r="J30" s="3"/>
      <c r="K30" s="35"/>
      <c r="L30" s="3"/>
      <c r="M30" s="35"/>
      <c r="N30" s="3"/>
      <c r="O30" s="44"/>
      <c r="P30" s="3"/>
      <c r="Q30" s="35"/>
      <c r="R30" s="3"/>
      <c r="S30" s="35"/>
      <c r="T30" s="3"/>
      <c r="U30" s="35"/>
      <c r="V30" s="3"/>
      <c r="W30" s="35"/>
      <c r="X30" s="3"/>
      <c r="Y30" s="35"/>
      <c r="Z30" s="3"/>
      <c r="AA30" s="35"/>
      <c r="AB30" s="30"/>
      <c r="AC30" s="35"/>
      <c r="AD30" s="36" t="e">
        <f t="shared" si="10"/>
        <v>#DIV/0!</v>
      </c>
    </row>
    <row r="31" ht="12.75" customHeight="1" spans="1:30" x14ac:dyDescent="0.25">
      <c r="A31" s="33"/>
      <c r="B31" s="48" t="s">
        <v>50</v>
      </c>
      <c r="C31" s="49"/>
      <c r="D31" s="32" t="e">
        <f>E31/$E$5</f>
        <v>#DIV/0!</v>
      </c>
      <c r="E31" s="29">
        <f t="shared" si="1"/>
      </c>
      <c r="F31" s="30"/>
      <c r="G31" s="31">
        <f t="shared" ref="G31:U31" si="21">SUBTOTAL(9,G32:G33)</f>
      </c>
      <c r="H31" s="30">
        <f t="shared" si="21"/>
      </c>
      <c r="I31" s="31">
        <f t="shared" si="21"/>
      </c>
      <c r="J31" s="30">
        <f t="shared" si="21"/>
      </c>
      <c r="K31" s="31">
        <f t="shared" si="21"/>
      </c>
      <c r="L31" s="30">
        <f t="shared" si="21"/>
      </c>
      <c r="M31" s="31">
        <f t="shared" si="21"/>
      </c>
      <c r="N31" s="30">
        <f t="shared" si="21"/>
      </c>
      <c r="O31" s="31">
        <f t="shared" si="21"/>
      </c>
      <c r="P31" s="31">
        <f t="shared" si="21"/>
      </c>
      <c r="Q31" s="31">
        <f t="shared" si="21"/>
      </c>
      <c r="R31" s="31">
        <f t="shared" si="21"/>
      </c>
      <c r="S31" s="31">
        <f t="shared" si="21"/>
      </c>
      <c r="T31" s="30">
        <f t="shared" si="21"/>
      </c>
      <c r="U31" s="31">
        <f t="shared" si="21"/>
      </c>
      <c r="V31" s="30" t="e">
        <f>W31/$W$6</f>
        <v>#DIV/0!</v>
      </c>
      <c r="W31" s="31">
        <f t="shared" ref="W31:Y31" si="22">SUBTOTAL(9,W32:W33)</f>
      </c>
      <c r="X31" s="30">
        <f t="shared" si="22"/>
      </c>
      <c r="Y31" s="31">
        <f t="shared" si="22"/>
      </c>
      <c r="Z31" s="30" t="e">
        <f>AA31/$AA$6</f>
        <v>#DIV/0!</v>
      </c>
      <c r="AA31" s="31">
        <f t="shared" ref="AA31:AC31" si="23">SUBTOTAL(9,AA32:AA33)</f>
      </c>
      <c r="AB31" s="31">
        <f t="shared" si="23"/>
      </c>
      <c r="AC31" s="31">
        <f t="shared" si="23"/>
      </c>
      <c r="AD31" s="32" t="e">
        <f t="shared" si="10"/>
        <v>#DIV/0!</v>
      </c>
    </row>
    <row r="32" ht="12.75" customHeight="1" spans="1:30" x14ac:dyDescent="0.25">
      <c r="A32" s="33"/>
      <c r="B32" s="43"/>
      <c r="C32" s="33" t="s">
        <v>51</v>
      </c>
      <c r="D32" s="36" t="e">
        <f t="shared" ref="D32:D33" si="24">E32/$E$6</f>
        <v>#DIV/0!</v>
      </c>
      <c r="E32" s="34">
        <f t="shared" si="1"/>
      </c>
      <c r="F32" s="3"/>
      <c r="G32" s="35"/>
      <c r="H32" s="3"/>
      <c r="I32" s="35"/>
      <c r="J32" s="3"/>
      <c r="K32" s="35"/>
      <c r="L32" s="3"/>
      <c r="M32" s="35"/>
      <c r="N32" s="3"/>
      <c r="O32" s="44"/>
      <c r="P32" s="3"/>
      <c r="Q32" s="35"/>
      <c r="R32" s="3"/>
      <c r="S32" s="35"/>
      <c r="T32" s="3"/>
      <c r="U32" s="35"/>
      <c r="V32" s="3"/>
      <c r="W32" s="35"/>
      <c r="X32" s="3"/>
      <c r="Y32" s="35"/>
      <c r="Z32" s="3"/>
      <c r="AA32" s="35"/>
      <c r="AB32" s="30"/>
      <c r="AC32" s="35"/>
      <c r="AD32" s="36" t="e">
        <f t="shared" si="10"/>
        <v>#DIV/0!</v>
      </c>
    </row>
    <row r="33" ht="12.75" customHeight="1" spans="1:30" x14ac:dyDescent="0.25">
      <c r="A33" s="27"/>
      <c r="B33" s="43"/>
      <c r="C33" s="33" t="s">
        <v>52</v>
      </c>
      <c r="D33" s="36" t="e">
        <f t="shared" si="24"/>
        <v>#DIV/0!</v>
      </c>
      <c r="E33" s="34">
        <f t="shared" si="1"/>
      </c>
      <c r="F33" s="3"/>
      <c r="G33" s="35"/>
      <c r="H33" s="3"/>
      <c r="I33" s="35"/>
      <c r="J33" s="3"/>
      <c r="K33" s="35"/>
      <c r="L33" s="3"/>
      <c r="M33" s="35"/>
      <c r="N33" s="3"/>
      <c r="O33" s="44"/>
      <c r="P33" s="3"/>
      <c r="Q33" s="35"/>
      <c r="R33" s="3"/>
      <c r="S33" s="35"/>
      <c r="T33" s="3"/>
      <c r="U33" s="35"/>
      <c r="V33" s="3"/>
      <c r="W33" s="35"/>
      <c r="X33" s="3"/>
      <c r="Y33" s="35"/>
      <c r="Z33" s="3"/>
      <c r="AA33" s="35"/>
      <c r="AB33" s="30"/>
      <c r="AC33" s="35"/>
      <c r="AD33" s="36" t="e">
        <f t="shared" si="10"/>
        <v>#DIV/0!</v>
      </c>
    </row>
    <row r="34" ht="12.75" customHeight="1" spans="1:30" x14ac:dyDescent="0.25">
      <c r="A34" s="27"/>
      <c r="B34" s="48" t="s">
        <v>53</v>
      </c>
      <c r="C34" s="27"/>
      <c r="D34" s="32" t="e">
        <f t="shared" ref="D34:D35" si="25">E34/$E$5-0.3%</f>
        <v>#DIV/0!</v>
      </c>
      <c r="E34" s="29">
        <f t="shared" si="1"/>
      </c>
      <c r="F34" s="30"/>
      <c r="G34" s="31">
        <f t="shared" ref="G34:U34" si="26">SUBTOTAL(9,G35:G36)</f>
      </c>
      <c r="H34" s="30">
        <f t="shared" si="26"/>
      </c>
      <c r="I34" s="31">
        <f t="shared" si="26"/>
      </c>
      <c r="J34" s="30">
        <f t="shared" si="26"/>
      </c>
      <c r="K34" s="31">
        <f t="shared" si="26"/>
      </c>
      <c r="L34" s="30">
        <f t="shared" si="26"/>
      </c>
      <c r="M34" s="31">
        <f t="shared" si="26"/>
      </c>
      <c r="N34" s="30">
        <f t="shared" si="26"/>
      </c>
      <c r="O34" s="31">
        <f t="shared" si="26"/>
      </c>
      <c r="P34" s="30">
        <f t="shared" si="26"/>
      </c>
      <c r="Q34" s="31">
        <f t="shared" si="26"/>
      </c>
      <c r="R34" s="30">
        <f t="shared" si="26"/>
      </c>
      <c r="S34" s="31">
        <f t="shared" si="26"/>
      </c>
      <c r="T34" s="30">
        <f t="shared" si="26"/>
      </c>
      <c r="U34" s="31">
        <f t="shared" si="26"/>
      </c>
      <c r="V34" s="30" t="e">
        <f>W34/$W$6</f>
        <v>#DIV/0!</v>
      </c>
      <c r="W34" s="31">
        <f t="shared" ref="W34:Y34" si="27">SUBTOTAL(9,W35:W36)</f>
      </c>
      <c r="X34" s="30">
        <f t="shared" si="27"/>
      </c>
      <c r="Y34" s="31">
        <f t="shared" si="27"/>
      </c>
      <c r="Z34" s="30" t="e">
        <f>AA34/$AA$6</f>
        <v>#DIV/0!</v>
      </c>
      <c r="AA34" s="31">
        <f t="shared" ref="AA34:AC34" si="28">SUBTOTAL(9,AA35:AA36)</f>
      </c>
      <c r="AB34" s="31">
        <f t="shared" si="28"/>
      </c>
      <c r="AC34" s="31">
        <f t="shared" si="28"/>
      </c>
      <c r="AD34" s="32" t="e">
        <f t="shared" si="10"/>
        <v>#DIV/0!</v>
      </c>
    </row>
    <row r="35" ht="12.75" customHeight="1" spans="1:30" x14ac:dyDescent="0.25">
      <c r="A35" s="33"/>
      <c r="B35" s="43"/>
      <c r="C35" s="33" t="s">
        <v>54</v>
      </c>
      <c r="D35" s="36" t="e">
        <f t="shared" si="25"/>
        <v>#DIV/0!</v>
      </c>
      <c r="E35" s="34">
        <f t="shared" si="1"/>
      </c>
      <c r="F35" s="3"/>
      <c r="G35" s="35"/>
      <c r="H35" s="3"/>
      <c r="I35" s="35"/>
      <c r="J35" s="3"/>
      <c r="K35" s="35"/>
      <c r="L35" s="3"/>
      <c r="M35" s="35"/>
      <c r="N35" s="3"/>
      <c r="O35" s="44"/>
      <c r="P35" s="3"/>
      <c r="Q35" s="35"/>
      <c r="R35" s="3"/>
      <c r="S35" s="35"/>
      <c r="T35" s="3"/>
      <c r="U35" s="35"/>
      <c r="V35" s="3"/>
      <c r="W35" s="35"/>
      <c r="X35" s="3"/>
      <c r="Y35" s="35"/>
      <c r="Z35" s="3"/>
      <c r="AA35" s="35"/>
      <c r="AB35" s="30"/>
      <c r="AC35" s="35"/>
      <c r="AD35" s="36" t="e">
        <f t="shared" si="10"/>
        <v>#DIV/0!</v>
      </c>
    </row>
    <row r="36" ht="12.75" customHeight="1" spans="1:30" x14ac:dyDescent="0.25">
      <c r="A36" s="27"/>
      <c r="B36" s="43"/>
      <c r="C36" s="33" t="s">
        <v>55</v>
      </c>
      <c r="D36" s="36" t="e">
        <f t="shared" ref="D36:D44" si="29">E36/$E$5</f>
        <v>#DIV/0!</v>
      </c>
      <c r="E36" s="34">
        <f t="shared" si="1"/>
      </c>
      <c r="F36" s="3"/>
      <c r="G36" s="35"/>
      <c r="H36" s="3"/>
      <c r="I36" s="35"/>
      <c r="J36" s="3"/>
      <c r="K36" s="35"/>
      <c r="L36" s="3"/>
      <c r="M36" s="35"/>
      <c r="N36" s="3"/>
      <c r="O36" s="44"/>
      <c r="P36" s="3"/>
      <c r="Q36" s="35"/>
      <c r="R36" s="35"/>
      <c r="S36" s="35"/>
      <c r="T36" s="3"/>
      <c r="U36" s="35"/>
      <c r="V36" s="3"/>
      <c r="W36" s="35"/>
      <c r="X36" s="3"/>
      <c r="Y36" s="35"/>
      <c r="Z36" s="3"/>
      <c r="AA36" s="35"/>
      <c r="AB36" s="30"/>
      <c r="AC36" s="35"/>
      <c r="AD36" s="36" t="e">
        <f t="shared" si="10"/>
        <v>#DIV/0!</v>
      </c>
    </row>
    <row r="37" ht="12.75" customHeight="1" spans="1:30" x14ac:dyDescent="0.25">
      <c r="A37" s="27"/>
      <c r="B37" s="48" t="s">
        <v>56</v>
      </c>
      <c r="C37" s="27"/>
      <c r="D37" s="32" t="e">
        <f t="shared" si="29"/>
        <v>#DIV/0!</v>
      </c>
      <c r="E37" s="29">
        <f t="shared" si="1"/>
      </c>
      <c r="F37" s="30"/>
      <c r="G37" s="31">
        <f t="shared" ref="G37:U37" si="30">SUBTOTAL(9,G38:G43)</f>
      </c>
      <c r="H37" s="30">
        <f t="shared" si="30"/>
      </c>
      <c r="I37" s="31">
        <f t="shared" si="30"/>
      </c>
      <c r="J37" s="30">
        <f t="shared" si="30"/>
      </c>
      <c r="K37" s="31">
        <f t="shared" si="30"/>
      </c>
      <c r="L37" s="30">
        <f t="shared" si="30"/>
      </c>
      <c r="M37" s="31">
        <f t="shared" si="30"/>
      </c>
      <c r="N37" s="30">
        <f t="shared" si="30"/>
      </c>
      <c r="O37" s="31">
        <f t="shared" si="30"/>
      </c>
      <c r="P37" s="31">
        <f t="shared" si="30"/>
      </c>
      <c r="Q37" s="31">
        <f t="shared" si="30"/>
      </c>
      <c r="R37" s="31">
        <f t="shared" si="30"/>
      </c>
      <c r="S37" s="31">
        <f t="shared" si="30"/>
      </c>
      <c r="T37" s="30">
        <f t="shared" si="30"/>
      </c>
      <c r="U37" s="31">
        <f t="shared" si="30"/>
      </c>
      <c r="V37" s="30" t="e">
        <f>W37/$W$6</f>
        <v>#DIV/0!</v>
      </c>
      <c r="W37" s="31">
        <f t="shared" ref="W37:Y37" si="31">SUBTOTAL(9,W38:W43)</f>
      </c>
      <c r="X37" s="30">
        <f t="shared" si="31"/>
      </c>
      <c r="Y37" s="31">
        <f t="shared" si="31"/>
      </c>
      <c r="Z37" s="30" t="e">
        <f>AA37/$AA$6</f>
        <v>#DIV/0!</v>
      </c>
      <c r="AA37" s="31">
        <f t="shared" ref="AA37:AC37" si="32">SUBTOTAL(9,AA38:AA43)</f>
      </c>
      <c r="AB37" s="31">
        <f t="shared" si="32"/>
      </c>
      <c r="AC37" s="31">
        <f t="shared" si="32"/>
      </c>
      <c r="AD37" s="32" t="e">
        <f t="shared" si="10"/>
        <v>#DIV/0!</v>
      </c>
    </row>
    <row r="38" ht="12.75" customHeight="1" spans="1:30" x14ac:dyDescent="0.25">
      <c r="A38" s="33"/>
      <c r="B38" s="43"/>
      <c r="C38" s="33" t="s">
        <v>57</v>
      </c>
      <c r="D38" s="36" t="e">
        <f t="shared" si="29"/>
        <v>#DIV/0!</v>
      </c>
      <c r="E38" s="34">
        <f t="shared" si="1"/>
      </c>
      <c r="F38" s="3"/>
      <c r="G38" s="35"/>
      <c r="H38" s="3"/>
      <c r="I38" s="35"/>
      <c r="J38" s="3"/>
      <c r="K38" s="35"/>
      <c r="L38" s="3"/>
      <c r="M38" s="35"/>
      <c r="N38" s="3"/>
      <c r="O38" s="44"/>
      <c r="P38" s="3"/>
      <c r="Q38" s="35"/>
      <c r="R38" s="3"/>
      <c r="S38" s="35"/>
      <c r="T38" s="3"/>
      <c r="U38" s="35"/>
      <c r="V38" s="3"/>
      <c r="W38" s="35"/>
      <c r="X38" s="3"/>
      <c r="Y38" s="35"/>
      <c r="Z38" s="3"/>
      <c r="AA38" s="35"/>
      <c r="AB38" s="30"/>
      <c r="AC38" s="35"/>
      <c r="AD38" s="36" t="e">
        <f t="shared" si="10"/>
        <v>#DIV/0!</v>
      </c>
    </row>
    <row r="39" ht="12.75" customHeight="1" spans="1:30" x14ac:dyDescent="0.25">
      <c r="A39" s="33"/>
      <c r="B39" s="43"/>
      <c r="C39" s="33" t="s">
        <v>58</v>
      </c>
      <c r="D39" s="36" t="e">
        <f t="shared" si="29"/>
        <v>#DIV/0!</v>
      </c>
      <c r="E39" s="34">
        <f t="shared" si="1"/>
      </c>
      <c r="F39" s="3"/>
      <c r="G39" s="35"/>
      <c r="H39" s="3"/>
      <c r="I39" s="35"/>
      <c r="J39" s="3"/>
      <c r="K39" s="35"/>
      <c r="L39" s="3"/>
      <c r="M39" s="35"/>
      <c r="N39" s="3"/>
      <c r="O39" s="44"/>
      <c r="P39" s="44"/>
      <c r="Q39" s="44"/>
      <c r="R39" s="44"/>
      <c r="S39" s="44"/>
      <c r="T39" s="44"/>
      <c r="U39" s="44"/>
      <c r="V39" s="3"/>
      <c r="W39" s="35"/>
      <c r="X39" s="3"/>
      <c r="Y39" s="35"/>
      <c r="Z39" s="3"/>
      <c r="AA39" s="35"/>
      <c r="AB39" s="30"/>
      <c r="AC39" s="35"/>
      <c r="AD39" s="36" t="e">
        <f t="shared" si="10"/>
        <v>#DIV/0!</v>
      </c>
    </row>
    <row r="40" ht="12.75" customHeight="1" spans="1:30" x14ac:dyDescent="0.25">
      <c r="A40" s="33"/>
      <c r="B40" s="43"/>
      <c r="C40" s="33" t="s">
        <v>59</v>
      </c>
      <c r="D40" s="36" t="e">
        <f t="shared" si="29"/>
        <v>#DIV/0!</v>
      </c>
      <c r="E40" s="34">
        <f t="shared" si="1"/>
      </c>
      <c r="F40" s="3"/>
      <c r="G40" s="35"/>
      <c r="H40" s="3"/>
      <c r="I40" s="35"/>
      <c r="J40" s="3"/>
      <c r="K40" s="35"/>
      <c r="L40" s="3"/>
      <c r="M40" s="35"/>
      <c r="N40" s="3"/>
      <c r="O40" s="44"/>
      <c r="P40" s="3"/>
      <c r="Q40" s="35"/>
      <c r="R40" s="3"/>
      <c r="S40" s="35"/>
      <c r="T40" s="3"/>
      <c r="U40" s="44"/>
      <c r="V40" s="3"/>
      <c r="W40" s="35"/>
      <c r="X40" s="3"/>
      <c r="Y40" s="35"/>
      <c r="Z40" s="3"/>
      <c r="AA40" s="35"/>
      <c r="AB40" s="30"/>
      <c r="AC40" s="35"/>
      <c r="AD40" s="36" t="e">
        <f t="shared" si="10"/>
        <v>#DIV/0!</v>
      </c>
    </row>
    <row r="41" ht="12.75" customHeight="1" spans="1:30" x14ac:dyDescent="0.25">
      <c r="A41" s="33"/>
      <c r="B41" s="43"/>
      <c r="C41" s="33" t="s">
        <v>60</v>
      </c>
      <c r="D41" s="36" t="e">
        <f t="shared" si="29"/>
        <v>#DIV/0!</v>
      </c>
      <c r="E41" s="34">
        <f t="shared" si="1"/>
      </c>
      <c r="F41" s="3"/>
      <c r="G41" s="35"/>
      <c r="H41" s="3"/>
      <c r="I41" s="35"/>
      <c r="J41" s="3"/>
      <c r="K41" s="35"/>
      <c r="L41" s="3"/>
      <c r="M41" s="35"/>
      <c r="N41" s="3"/>
      <c r="O41" s="44"/>
      <c r="P41" s="3"/>
      <c r="Q41" s="35"/>
      <c r="R41" s="3"/>
      <c r="S41" s="35"/>
      <c r="T41" s="3"/>
      <c r="U41" s="44"/>
      <c r="V41" s="3"/>
      <c r="W41" s="35"/>
      <c r="X41" s="3"/>
      <c r="Y41" s="35"/>
      <c r="Z41" s="30"/>
      <c r="AA41" s="35"/>
      <c r="AB41" s="30"/>
      <c r="AC41" s="35"/>
      <c r="AD41" s="36" t="e">
        <f t="shared" si="10"/>
        <v>#DIV/0!</v>
      </c>
    </row>
    <row r="42" ht="12.75" customHeight="1" spans="1:30" x14ac:dyDescent="0.25">
      <c r="A42" s="33"/>
      <c r="B42" s="43"/>
      <c r="C42" s="33" t="s">
        <v>61</v>
      </c>
      <c r="D42" s="36" t="e">
        <f t="shared" si="29"/>
        <v>#DIV/0!</v>
      </c>
      <c r="E42" s="34">
        <f t="shared" si="1"/>
      </c>
      <c r="F42" s="3"/>
      <c r="G42" s="35"/>
      <c r="H42" s="3"/>
      <c r="I42" s="35"/>
      <c r="J42" s="3"/>
      <c r="K42" s="35"/>
      <c r="L42" s="3"/>
      <c r="M42" s="35"/>
      <c r="N42" s="3"/>
      <c r="O42" s="44"/>
      <c r="P42" s="3"/>
      <c r="Q42" s="35"/>
      <c r="R42" s="3"/>
      <c r="S42" s="35"/>
      <c r="T42" s="3"/>
      <c r="U42" s="44"/>
      <c r="V42" s="3"/>
      <c r="W42" s="35"/>
      <c r="X42" s="3"/>
      <c r="Y42" s="35"/>
      <c r="Z42" s="3"/>
      <c r="AA42" s="35"/>
      <c r="AB42" s="30"/>
      <c r="AC42" s="35"/>
      <c r="AD42" s="36" t="e">
        <f t="shared" si="10"/>
        <v>#DIV/0!</v>
      </c>
    </row>
    <row r="43" ht="12.75" customHeight="1" spans="1:30" x14ac:dyDescent="0.25">
      <c r="A43" s="33"/>
      <c r="B43" s="43"/>
      <c r="C43" s="33" t="s">
        <v>62</v>
      </c>
      <c r="D43" s="36" t="e">
        <f t="shared" si="29"/>
        <v>#DIV/0!</v>
      </c>
      <c r="E43" s="34">
        <f t="shared" si="1"/>
      </c>
      <c r="F43" s="3"/>
      <c r="G43" s="35"/>
      <c r="H43" s="3"/>
      <c r="I43" s="35"/>
      <c r="J43" s="3"/>
      <c r="K43" s="35"/>
      <c r="L43" s="3"/>
      <c r="M43" s="35"/>
      <c r="N43" s="3"/>
      <c r="O43" s="44"/>
      <c r="P43" s="3"/>
      <c r="Q43" s="35"/>
      <c r="R43" s="3"/>
      <c r="S43" s="35"/>
      <c r="T43" s="3"/>
      <c r="U43" s="35"/>
      <c r="V43" s="3"/>
      <c r="W43" s="35"/>
      <c r="X43" s="3"/>
      <c r="Y43" s="35"/>
      <c r="Z43" s="3"/>
      <c r="AA43" s="35"/>
      <c r="AB43" s="31"/>
      <c r="AC43" s="35"/>
      <c r="AD43" s="36" t="e">
        <f t="shared" si="10"/>
        <v>#DIV/0!</v>
      </c>
    </row>
    <row r="44" ht="17.25" customHeight="1" spans="1:30" x14ac:dyDescent="0.25">
      <c r="A44" s="27"/>
      <c r="B44" s="27" t="s">
        <v>63</v>
      </c>
      <c r="C44" s="27"/>
      <c r="D44" s="32" t="e">
        <f t="shared" si="29"/>
        <v>#DIV/0!</v>
      </c>
      <c r="E44" s="29">
        <f t="shared" si="1"/>
      </c>
      <c r="F44" s="30"/>
      <c r="G44" s="31">
        <f t="shared" ref="G44:U44" si="33">SUBTOTAL(9,G45:G48)</f>
      </c>
      <c r="H44" s="30">
        <f t="shared" si="33"/>
      </c>
      <c r="I44" s="31">
        <f t="shared" si="33"/>
      </c>
      <c r="J44" s="30">
        <f t="shared" si="33"/>
      </c>
      <c r="K44" s="31">
        <f t="shared" si="33"/>
      </c>
      <c r="L44" s="30">
        <f t="shared" si="33"/>
      </c>
      <c r="M44" s="31">
        <f t="shared" si="33"/>
      </c>
      <c r="N44" s="30">
        <f t="shared" si="33"/>
      </c>
      <c r="O44" s="31">
        <f t="shared" si="33"/>
      </c>
      <c r="P44" s="31">
        <f t="shared" si="33"/>
      </c>
      <c r="Q44" s="31">
        <f t="shared" si="33"/>
      </c>
      <c r="R44" s="31">
        <f t="shared" si="33"/>
      </c>
      <c r="S44" s="31">
        <f t="shared" si="33"/>
      </c>
      <c r="T44" s="30">
        <f t="shared" si="33"/>
      </c>
      <c r="U44" s="31">
        <f t="shared" si="33"/>
      </c>
      <c r="V44" s="30" t="e">
        <f>W44/$W$6</f>
        <v>#DIV/0!</v>
      </c>
      <c r="W44" s="31">
        <f t="shared" ref="W44:Y44" si="34">SUBTOTAL(9,W45:W48)</f>
      </c>
      <c r="X44" s="30">
        <f t="shared" si="34"/>
      </c>
      <c r="Y44" s="31">
        <f t="shared" si="34"/>
      </c>
      <c r="Z44" s="30" t="e">
        <f>AA44/$AA$6</f>
        <v>#DIV/0!</v>
      </c>
      <c r="AA44" s="31">
        <f t="shared" ref="AA44:AC44" si="35">SUBTOTAL(9,AA45:AA48)</f>
      </c>
      <c r="AB44" s="31">
        <f t="shared" si="35"/>
      </c>
      <c r="AC44" s="31">
        <f t="shared" si="35"/>
      </c>
      <c r="AD44" s="32" t="e">
        <f t="shared" si="10"/>
        <v>#DIV/0!</v>
      </c>
    </row>
    <row r="45" ht="12.75" customHeight="1" spans="1:30" x14ac:dyDescent="0.25">
      <c r="A45" s="33" t="s">
        <v>64</v>
      </c>
      <c r="B45" s="43"/>
      <c r="C45" s="33" t="s">
        <v>65</v>
      </c>
      <c r="D45" s="36" t="e">
        <f t="shared" ref="D45:D48" si="36">E45/$E$6</f>
        <v>#DIV/0!</v>
      </c>
      <c r="E45" s="34">
        <f t="shared" si="1"/>
      </c>
      <c r="F45" s="3"/>
      <c r="G45" s="35"/>
      <c r="H45" s="3"/>
      <c r="I45" s="35"/>
      <c r="J45" s="3"/>
      <c r="K45" s="35"/>
      <c r="L45" s="3"/>
      <c r="M45" s="35"/>
      <c r="N45" s="3"/>
      <c r="O45" s="44"/>
      <c r="P45" s="3"/>
      <c r="Q45" s="35"/>
      <c r="R45" s="3"/>
      <c r="S45" s="35"/>
      <c r="T45" s="3"/>
      <c r="U45" s="35"/>
      <c r="V45" s="3"/>
      <c r="W45" s="35"/>
      <c r="X45" s="3"/>
      <c r="Y45" s="35"/>
      <c r="Z45" s="3"/>
      <c r="AA45" s="35"/>
      <c r="AB45" s="30"/>
      <c r="AC45" s="35"/>
      <c r="AD45" s="36" t="e">
        <f t="shared" si="10"/>
        <v>#DIV/0!</v>
      </c>
    </row>
    <row r="46" ht="17.25" customHeight="1" spans="1:30" x14ac:dyDescent="0.25">
      <c r="A46" s="33"/>
      <c r="B46" s="48"/>
      <c r="C46" s="33" t="s">
        <v>66</v>
      </c>
      <c r="D46" s="36" t="e">
        <f t="shared" si="36"/>
        <v>#DIV/0!</v>
      </c>
      <c r="E46" s="34">
        <f t="shared" si="1"/>
      </c>
      <c r="F46" s="3"/>
      <c r="G46" s="35"/>
      <c r="H46" s="3"/>
      <c r="I46" s="35"/>
      <c r="J46" s="3"/>
      <c r="K46" s="35"/>
      <c r="L46" s="3"/>
      <c r="M46" s="35"/>
      <c r="N46" s="3"/>
      <c r="O46" s="44"/>
      <c r="P46" s="3"/>
      <c r="Q46" s="35"/>
      <c r="R46" s="3"/>
      <c r="S46" s="35"/>
      <c r="T46" s="3"/>
      <c r="U46" s="35"/>
      <c r="V46" s="3"/>
      <c r="W46" s="35"/>
      <c r="X46" s="3"/>
      <c r="Y46" s="35"/>
      <c r="Z46" s="3"/>
      <c r="AA46" s="35"/>
      <c r="AB46" s="30"/>
      <c r="AC46" s="35"/>
      <c r="AD46" s="36" t="e">
        <f t="shared" si="10"/>
        <v>#DIV/0!</v>
      </c>
    </row>
    <row r="47" ht="17.25" customHeight="1" spans="1:30" x14ac:dyDescent="0.25">
      <c r="A47" s="33"/>
      <c r="B47" s="48"/>
      <c r="C47" s="33" t="s">
        <v>67</v>
      </c>
      <c r="D47" s="36" t="e">
        <f t="shared" si="36"/>
        <v>#DIV/0!</v>
      </c>
      <c r="E47" s="34">
        <f t="shared" si="1"/>
      </c>
      <c r="F47" s="3"/>
      <c r="G47" s="35"/>
      <c r="H47" s="3"/>
      <c r="I47" s="35"/>
      <c r="J47" s="3"/>
      <c r="K47" s="35"/>
      <c r="L47" s="3"/>
      <c r="M47" s="35"/>
      <c r="N47" s="3"/>
      <c r="O47" s="44"/>
      <c r="P47" s="3"/>
      <c r="Q47" s="35"/>
      <c r="R47" s="3"/>
      <c r="S47" s="35"/>
      <c r="T47" s="3"/>
      <c r="U47" s="35"/>
      <c r="V47" s="3"/>
      <c r="W47" s="35"/>
      <c r="X47" s="3"/>
      <c r="Y47" s="35"/>
      <c r="Z47" s="3"/>
      <c r="AA47" s="35"/>
      <c r="AB47" s="30"/>
      <c r="AC47" s="35"/>
      <c r="AD47" s="36" t="e">
        <f t="shared" si="10"/>
        <v>#DIV/0!</v>
      </c>
    </row>
    <row r="48" ht="17.25" customHeight="1" spans="1:30" x14ac:dyDescent="0.25">
      <c r="A48" s="50">
        <v>1651537</v>
      </c>
      <c r="B48" s="48"/>
      <c r="C48" s="33" t="s">
        <v>68</v>
      </c>
      <c r="D48" s="36" t="e">
        <f t="shared" si="36"/>
        <v>#DIV/0!</v>
      </c>
      <c r="E48" s="34">
        <f t="shared" si="1"/>
      </c>
      <c r="F48" s="3"/>
      <c r="G48" s="35"/>
      <c r="H48" s="3"/>
      <c r="I48" s="35"/>
      <c r="J48" s="3"/>
      <c r="K48" s="35"/>
      <c r="L48" s="3"/>
      <c r="M48" s="35"/>
      <c r="N48" s="3"/>
      <c r="O48" s="44"/>
      <c r="P48" s="3"/>
      <c r="Q48" s="35"/>
      <c r="R48" s="3"/>
      <c r="S48" s="35"/>
      <c r="T48" s="3"/>
      <c r="U48" s="35"/>
      <c r="V48" s="3"/>
      <c r="W48" s="35"/>
      <c r="X48" s="3"/>
      <c r="Y48" s="35"/>
      <c r="Z48" s="3"/>
      <c r="AA48" s="35"/>
      <c r="AB48" s="30"/>
      <c r="AC48" s="35"/>
      <c r="AD48" s="36" t="e">
        <f t="shared" si="10"/>
        <v>#DIV/0!</v>
      </c>
    </row>
    <row r="49" ht="17.25" customHeight="1" spans="1:30" x14ac:dyDescent="0.25">
      <c r="A49" s="27"/>
      <c r="B49" s="48" t="s">
        <v>69</v>
      </c>
      <c r="C49" s="27"/>
      <c r="D49" s="32" t="e">
        <f t="shared" ref="D49:D52" si="37">E49/$E$5</f>
        <v>#DIV/0!</v>
      </c>
      <c r="E49" s="29">
        <f t="shared" si="1"/>
      </c>
      <c r="F49" s="30"/>
      <c r="G49" s="31">
        <f t="shared" ref="G49:U49" si="38">SUBTOTAL(9,G50:G52)</f>
      </c>
      <c r="H49" s="30">
        <f t="shared" si="38"/>
      </c>
      <c r="I49" s="31">
        <f t="shared" si="38"/>
      </c>
      <c r="J49" s="30">
        <f t="shared" si="38"/>
      </c>
      <c r="K49" s="31">
        <f t="shared" si="38"/>
      </c>
      <c r="L49" s="30">
        <f t="shared" si="38"/>
      </c>
      <c r="M49" s="31">
        <f t="shared" si="38"/>
      </c>
      <c r="N49" s="30">
        <f t="shared" si="38"/>
      </c>
      <c r="O49" s="31">
        <f t="shared" si="38"/>
      </c>
      <c r="P49" s="31">
        <f t="shared" si="38"/>
      </c>
      <c r="Q49" s="31">
        <f t="shared" si="38"/>
      </c>
      <c r="R49" s="30">
        <f t="shared" si="38"/>
      </c>
      <c r="S49" s="31">
        <f t="shared" si="38"/>
      </c>
      <c r="T49" s="30">
        <f t="shared" si="38"/>
      </c>
      <c r="U49" s="31">
        <f t="shared" si="38"/>
      </c>
      <c r="V49" s="30" t="e">
        <f>W49/$W$6</f>
        <v>#DIV/0!</v>
      </c>
      <c r="W49" s="31">
        <f t="shared" ref="W49:Y49" si="39">SUBTOTAL(9,W50:W52)</f>
      </c>
      <c r="X49" s="30">
        <f t="shared" si="39"/>
      </c>
      <c r="Y49" s="31">
        <f t="shared" si="39"/>
      </c>
      <c r="Z49" s="30" t="e">
        <f>AA49/$AA$6</f>
        <v>#DIV/0!</v>
      </c>
      <c r="AA49" s="31">
        <f t="shared" ref="AA49:AC49" si="40">SUBTOTAL(9,AA50:AA52)</f>
      </c>
      <c r="AB49" s="31">
        <f t="shared" si="40"/>
      </c>
      <c r="AC49" s="31">
        <f t="shared" si="40"/>
      </c>
      <c r="AD49" s="32" t="e">
        <f t="shared" si="10"/>
        <v>#DIV/0!</v>
      </c>
    </row>
    <row r="50" ht="17.25" customHeight="1" spans="1:30" x14ac:dyDescent="0.25">
      <c r="A50" s="50">
        <v>1651902</v>
      </c>
      <c r="B50" s="47"/>
      <c r="C50" s="33" t="s">
        <v>70</v>
      </c>
      <c r="D50" s="36" t="e">
        <f t="shared" si="37"/>
        <v>#DIV/0!</v>
      </c>
      <c r="E50" s="34">
        <f t="shared" si="1"/>
      </c>
      <c r="F50" s="3"/>
      <c r="G50" s="35"/>
      <c r="H50" s="3"/>
      <c r="I50" s="35"/>
      <c r="J50" s="3"/>
      <c r="K50" s="35"/>
      <c r="L50" s="3"/>
      <c r="M50" s="35"/>
      <c r="N50" s="3"/>
      <c r="O50" s="44"/>
      <c r="P50" s="3"/>
      <c r="Q50" s="35"/>
      <c r="R50" s="3"/>
      <c r="S50" s="35"/>
      <c r="T50" s="3"/>
      <c r="U50" s="35"/>
      <c r="V50" s="3"/>
      <c r="W50" s="35"/>
      <c r="X50" s="3"/>
      <c r="Y50" s="35"/>
      <c r="Z50" s="3"/>
      <c r="AA50" s="35"/>
      <c r="AB50" s="30"/>
      <c r="AC50" s="35"/>
      <c r="AD50" s="36" t="e">
        <f t="shared" si="10"/>
        <v>#DIV/0!</v>
      </c>
    </row>
    <row r="51" ht="17.25" customHeight="1" spans="1:30" x14ac:dyDescent="0.25">
      <c r="A51" s="50">
        <v>1651933</v>
      </c>
      <c r="B51" s="47"/>
      <c r="C51" s="33" t="s">
        <v>71</v>
      </c>
      <c r="D51" s="36" t="e">
        <f t="shared" si="37"/>
        <v>#DIV/0!</v>
      </c>
      <c r="E51" s="34">
        <f t="shared" si="1"/>
      </c>
      <c r="F51" s="3"/>
      <c r="G51" s="35"/>
      <c r="H51" s="3"/>
      <c r="I51" s="35"/>
      <c r="J51" s="3"/>
      <c r="K51" s="35"/>
      <c r="L51" s="3"/>
      <c r="M51" s="35"/>
      <c r="N51" s="3"/>
      <c r="O51" s="44"/>
      <c r="P51" s="3"/>
      <c r="Q51" s="35"/>
      <c r="R51" s="3"/>
      <c r="S51" s="35"/>
      <c r="T51" s="3"/>
      <c r="U51" s="35"/>
      <c r="V51" s="3"/>
      <c r="W51" s="35"/>
      <c r="X51" s="3"/>
      <c r="Y51" s="35"/>
      <c r="Z51" s="3"/>
      <c r="AA51" s="35"/>
      <c r="AB51" s="30"/>
      <c r="AC51" s="35"/>
      <c r="AD51" s="36" t="e">
        <f t="shared" si="10"/>
        <v>#DIV/0!</v>
      </c>
    </row>
    <row r="52" ht="17.25" customHeight="1" spans="1:30" x14ac:dyDescent="0.25">
      <c r="A52" s="50">
        <v>1651568</v>
      </c>
      <c r="B52" s="48"/>
      <c r="C52" s="33" t="s">
        <v>72</v>
      </c>
      <c r="D52" s="36" t="e">
        <f t="shared" si="37"/>
        <v>#DIV/0!</v>
      </c>
      <c r="E52" s="34">
        <f t="shared" si="1"/>
      </c>
      <c r="F52" s="3"/>
      <c r="G52" s="35"/>
      <c r="H52" s="3"/>
      <c r="I52" s="35"/>
      <c r="J52" s="3"/>
      <c r="K52" s="35"/>
      <c r="L52" s="3"/>
      <c r="M52" s="35"/>
      <c r="N52" s="3"/>
      <c r="O52" s="44"/>
      <c r="P52" s="3"/>
      <c r="Q52" s="35"/>
      <c r="R52" s="3"/>
      <c r="S52" s="35"/>
      <c r="T52" s="3"/>
      <c r="U52" s="35"/>
      <c r="V52" s="3"/>
      <c r="W52" s="35"/>
      <c r="X52" s="3"/>
      <c r="Y52" s="35"/>
      <c r="Z52" s="3"/>
      <c r="AA52" s="35"/>
      <c r="AB52" s="30"/>
      <c r="AC52" s="35"/>
      <c r="AD52" s="36" t="e">
        <f t="shared" si="10"/>
        <v>#DIV/0!</v>
      </c>
    </row>
    <row r="53" ht="17.25" customHeight="1" spans="1:30" x14ac:dyDescent="0.25">
      <c r="A53" s="27"/>
      <c r="B53" s="48" t="s">
        <v>73</v>
      </c>
      <c r="C53" s="27"/>
      <c r="D53" s="32" t="e">
        <f t="shared" ref="D53:D54" si="41">E53/$E$5-0.85%</f>
        <v>#DIV/0!</v>
      </c>
      <c r="E53" s="29">
        <f t="shared" si="1"/>
      </c>
      <c r="F53" s="30"/>
      <c r="G53" s="31">
        <f t="shared" ref="G53:U53" si="42">SUBTOTAL(9,G54:G56)</f>
      </c>
      <c r="H53" s="30">
        <f t="shared" si="42"/>
      </c>
      <c r="I53" s="31">
        <f t="shared" si="42"/>
      </c>
      <c r="J53" s="31">
        <f t="shared" si="42"/>
      </c>
      <c r="K53" s="31">
        <f t="shared" si="42"/>
      </c>
      <c r="L53" s="30">
        <f t="shared" si="42"/>
      </c>
      <c r="M53" s="31">
        <f t="shared" si="42"/>
      </c>
      <c r="N53" s="30">
        <f t="shared" si="42"/>
      </c>
      <c r="O53" s="31">
        <f t="shared" si="42"/>
      </c>
      <c r="P53" s="31">
        <f t="shared" si="42"/>
      </c>
      <c r="Q53" s="31">
        <f t="shared" si="42"/>
      </c>
      <c r="R53" s="30">
        <f t="shared" si="42"/>
      </c>
      <c r="S53" s="31">
        <f t="shared" si="42"/>
      </c>
      <c r="T53" s="30">
        <f t="shared" si="42"/>
      </c>
      <c r="U53" s="31">
        <f t="shared" si="42"/>
      </c>
      <c r="V53" s="30" t="e">
        <f>W53/$W$6</f>
        <v>#DIV/0!</v>
      </c>
      <c r="W53" s="31">
        <f t="shared" ref="W53:Y53" si="43">SUBTOTAL(9,W54:W56)</f>
      </c>
      <c r="X53" s="30">
        <f t="shared" si="43"/>
      </c>
      <c r="Y53" s="31">
        <f t="shared" si="43"/>
      </c>
      <c r="Z53" s="30" t="e">
        <f>AA53/$AA$6</f>
        <v>#DIV/0!</v>
      </c>
      <c r="AA53" s="31">
        <f t="shared" ref="AA53:AC53" si="44">SUBTOTAL(9,AA54:AA56)</f>
      </c>
      <c r="AB53" s="31">
        <f t="shared" si="44"/>
      </c>
      <c r="AC53" s="31">
        <f t="shared" si="44"/>
      </c>
      <c r="AD53" s="32" t="e">
        <f t="shared" si="10"/>
        <v>#DIV/0!</v>
      </c>
    </row>
    <row r="54" ht="17.25" customHeight="1" spans="1:30" x14ac:dyDescent="0.25">
      <c r="A54" s="33" t="s">
        <v>74</v>
      </c>
      <c r="B54" s="43"/>
      <c r="C54" s="33" t="s">
        <v>75</v>
      </c>
      <c r="D54" s="36" t="e">
        <f t="shared" si="41"/>
        <v>#DIV/0!</v>
      </c>
      <c r="E54" s="34">
        <f t="shared" si="1"/>
      </c>
      <c r="F54" s="3"/>
      <c r="G54" s="35"/>
      <c r="H54" s="3"/>
      <c r="I54" s="35"/>
      <c r="J54" s="3"/>
      <c r="K54" s="51"/>
      <c r="L54" s="3"/>
      <c r="M54" s="35"/>
      <c r="N54" s="3"/>
      <c r="O54" s="44"/>
      <c r="P54" s="3"/>
      <c r="Q54" s="35"/>
      <c r="R54" s="3"/>
      <c r="S54" s="35"/>
      <c r="T54" s="3"/>
      <c r="U54" s="35"/>
      <c r="V54" s="3"/>
      <c r="W54" s="35"/>
      <c r="X54" s="3"/>
      <c r="Y54" s="35"/>
      <c r="Z54" s="3"/>
      <c r="AA54" s="35"/>
      <c r="AB54" s="30"/>
      <c r="AC54" s="35"/>
      <c r="AD54" s="36" t="e">
        <f t="shared" si="10"/>
        <v>#DIV/0!</v>
      </c>
    </row>
    <row r="55" ht="17.25" customHeight="1" spans="1:30" x14ac:dyDescent="0.25">
      <c r="A55" s="33"/>
      <c r="B55" s="43"/>
      <c r="C55" s="33" t="s">
        <v>76</v>
      </c>
      <c r="D55" s="36" t="e">
        <f>E55/$E$5</f>
        <v>#DIV/0!</v>
      </c>
      <c r="E55" s="34">
        <f t="shared" si="1"/>
      </c>
      <c r="F55" s="3"/>
      <c r="G55" s="35"/>
      <c r="H55" s="3"/>
      <c r="I55" s="35"/>
      <c r="J55" s="3"/>
      <c r="K55" s="35"/>
      <c r="L55" s="3"/>
      <c r="M55" s="35"/>
      <c r="N55" s="3"/>
      <c r="O55" s="44"/>
      <c r="P55" s="3"/>
      <c r="Q55" s="35"/>
      <c r="R55" s="3"/>
      <c r="S55" s="35"/>
      <c r="T55" s="3"/>
      <c r="U55" s="35"/>
      <c r="V55" s="3"/>
      <c r="W55" s="35"/>
      <c r="X55" s="3"/>
      <c r="Y55" s="35"/>
      <c r="Z55" s="3"/>
      <c r="AA55" s="35"/>
      <c r="AB55" s="30"/>
      <c r="AC55" s="35"/>
      <c r="AD55" s="36" t="e">
        <f t="shared" si="10"/>
        <v>#DIV/0!</v>
      </c>
    </row>
    <row r="56" ht="17.25" customHeight="1" spans="1:30" x14ac:dyDescent="0.25">
      <c r="A56" s="33"/>
      <c r="B56" s="43"/>
      <c r="C56" s="33" t="s">
        <v>77</v>
      </c>
      <c r="D56" s="36"/>
      <c r="E56" s="34">
        <f t="shared" si="1"/>
      </c>
      <c r="F56" s="3"/>
      <c r="G56" s="35"/>
      <c r="H56" s="3"/>
      <c r="I56" s="35"/>
      <c r="J56" s="3"/>
      <c r="K56" s="52"/>
      <c r="L56" s="3"/>
      <c r="M56" s="35"/>
      <c r="N56" s="3"/>
      <c r="O56" s="44"/>
      <c r="P56" s="3"/>
      <c r="Q56" s="35"/>
      <c r="R56" s="3"/>
      <c r="S56" s="35"/>
      <c r="T56" s="3"/>
      <c r="U56" s="35"/>
      <c r="V56" s="3"/>
      <c r="W56" s="35"/>
      <c r="X56" s="3"/>
      <c r="Y56" s="35"/>
      <c r="Z56" s="3"/>
      <c r="AA56" s="35"/>
      <c r="AB56" s="30"/>
      <c r="AC56" s="35"/>
      <c r="AD56" s="36" t="e">
        <f t="shared" si="10"/>
        <v>#DIV/0!</v>
      </c>
    </row>
    <row r="57" ht="17.25" customHeight="1" spans="1:30" x14ac:dyDescent="0.25">
      <c r="A57" s="27"/>
      <c r="B57" s="27" t="s">
        <v>78</v>
      </c>
      <c r="C57" s="33"/>
      <c r="D57" s="32" t="e">
        <f>E57/$E$5-0.15%</f>
        <v>#DIV/0!</v>
      </c>
      <c r="E57" s="29">
        <f t="shared" si="1"/>
      </c>
      <c r="F57" s="30"/>
      <c r="G57" s="31">
        <f t="shared" ref="G57:U57" si="45">SUBTOTAL(9,G58:G62)</f>
      </c>
      <c r="H57" s="30">
        <f t="shared" si="45"/>
      </c>
      <c r="I57" s="31">
        <f t="shared" si="45"/>
      </c>
      <c r="J57" s="30">
        <f t="shared" si="45"/>
      </c>
      <c r="K57" s="31">
        <f t="shared" si="45"/>
      </c>
      <c r="L57" s="30">
        <f t="shared" si="45"/>
      </c>
      <c r="M57" s="31">
        <f t="shared" si="45"/>
      </c>
      <c r="N57" s="30">
        <f t="shared" si="45"/>
      </c>
      <c r="O57" s="31">
        <f t="shared" si="45"/>
      </c>
      <c r="P57" s="30">
        <f t="shared" si="45"/>
      </c>
      <c r="Q57" s="31">
        <f t="shared" si="45"/>
      </c>
      <c r="R57" s="30">
        <f t="shared" si="45"/>
      </c>
      <c r="S57" s="31">
        <f t="shared" si="45"/>
      </c>
      <c r="T57" s="30">
        <f t="shared" si="45"/>
      </c>
      <c r="U57" s="31">
        <f t="shared" si="45"/>
      </c>
      <c r="V57" s="30" t="e">
        <f>W57/$W$6</f>
        <v>#DIV/0!</v>
      </c>
      <c r="W57" s="31">
        <f t="shared" ref="W57:Y57" si="46">SUBTOTAL(9,W58:W62)</f>
      </c>
      <c r="X57" s="30">
        <f t="shared" si="46"/>
      </c>
      <c r="Y57" s="31">
        <f t="shared" si="46"/>
      </c>
      <c r="Z57" s="30" t="e">
        <f>AA57/$AA$6</f>
        <v>#DIV/0!</v>
      </c>
      <c r="AA57" s="31">
        <f t="shared" ref="AA57:AC57" si="47">SUBTOTAL(9,AA58:AA62)</f>
      </c>
      <c r="AB57" s="31">
        <f t="shared" si="47"/>
      </c>
      <c r="AC57" s="31">
        <f t="shared" si="47"/>
      </c>
      <c r="AD57" s="32" t="e">
        <f t="shared" si="10"/>
        <v>#DIV/0!</v>
      </c>
    </row>
    <row r="58" ht="17.25" customHeight="1" spans="1:30" x14ac:dyDescent="0.25">
      <c r="A58" s="53"/>
      <c r="B58" s="53" t="s">
        <v>79</v>
      </c>
      <c r="C58" s="54" t="s">
        <v>79</v>
      </c>
      <c r="D58" s="36" t="e">
        <f t="shared" ref="D58:D63" si="48">E58/$E$5</f>
        <v>#DIV/0!</v>
      </c>
      <c r="E58" s="34">
        <f t="shared" si="1"/>
      </c>
      <c r="F58" s="3"/>
      <c r="G58" s="35"/>
      <c r="H58" s="3"/>
      <c r="I58" s="35"/>
      <c r="J58" s="3"/>
      <c r="K58" s="35"/>
      <c r="L58" s="3"/>
      <c r="M58" s="35"/>
      <c r="N58" s="3"/>
      <c r="O58" s="35"/>
      <c r="P58" s="3"/>
      <c r="Q58" s="35"/>
      <c r="R58" s="3"/>
      <c r="S58" s="35"/>
      <c r="T58" s="3"/>
      <c r="U58" s="35"/>
      <c r="V58" s="3"/>
      <c r="W58" s="35"/>
      <c r="X58" s="3"/>
      <c r="Y58" s="35"/>
      <c r="Z58" s="3"/>
      <c r="AA58" s="35"/>
      <c r="AB58" s="30"/>
      <c r="AC58" s="35"/>
      <c r="AD58" s="36" t="e">
        <f t="shared" si="10"/>
        <v>#DIV/0!</v>
      </c>
    </row>
    <row r="59" ht="17.25" customHeight="1" spans="1:30" x14ac:dyDescent="0.25">
      <c r="A59" s="53" t="s">
        <v>80</v>
      </c>
      <c r="B59" s="53" t="s">
        <v>81</v>
      </c>
      <c r="C59" s="54" t="s">
        <v>82</v>
      </c>
      <c r="D59" s="36" t="e">
        <f t="shared" si="48"/>
        <v>#DIV/0!</v>
      </c>
      <c r="E59" s="34">
        <f t="shared" si="1"/>
      </c>
      <c r="F59" s="3"/>
      <c r="G59" s="35"/>
      <c r="H59" s="3"/>
      <c r="I59" s="35"/>
      <c r="J59" s="3"/>
      <c r="K59" s="35"/>
      <c r="L59" s="3"/>
      <c r="M59" s="35"/>
      <c r="N59" s="3"/>
      <c r="O59" s="35"/>
      <c r="P59" s="3"/>
      <c r="Q59" s="35"/>
      <c r="R59" s="3"/>
      <c r="S59" s="55"/>
      <c r="T59" s="3"/>
      <c r="U59" s="35"/>
      <c r="V59" s="3"/>
      <c r="W59" s="35"/>
      <c r="X59" s="3"/>
      <c r="Y59" s="35"/>
      <c r="Z59" s="3"/>
      <c r="AA59" s="35"/>
      <c r="AB59" s="30"/>
      <c r="AC59" s="35"/>
      <c r="AD59" s="36" t="e">
        <f t="shared" si="10"/>
        <v>#DIV/0!</v>
      </c>
    </row>
    <row r="60" ht="17.25" customHeight="1" spans="1:30" x14ac:dyDescent="0.25">
      <c r="A60" s="53" t="s">
        <v>83</v>
      </c>
      <c r="B60" s="53" t="s">
        <v>84</v>
      </c>
      <c r="C60" s="54" t="s">
        <v>85</v>
      </c>
      <c r="D60" s="36" t="e">
        <f t="shared" si="48"/>
        <v>#DIV/0!</v>
      </c>
      <c r="E60" s="34">
        <f t="shared" si="1"/>
      </c>
      <c r="F60" s="3"/>
      <c r="G60" s="35"/>
      <c r="H60" s="3"/>
      <c r="I60" s="35"/>
      <c r="J60" s="3"/>
      <c r="K60" s="35"/>
      <c r="L60" s="3"/>
      <c r="M60" s="35"/>
      <c r="N60" s="3"/>
      <c r="O60" s="35"/>
      <c r="P60" s="3"/>
      <c r="Q60" s="35"/>
      <c r="R60" s="3"/>
      <c r="S60" s="35"/>
      <c r="T60" s="3"/>
      <c r="U60" s="35"/>
      <c r="V60" s="3"/>
      <c r="W60" s="35"/>
      <c r="X60" s="3"/>
      <c r="Y60" s="35"/>
      <c r="Z60" s="3"/>
      <c r="AA60" s="35"/>
      <c r="AB60" s="30"/>
      <c r="AC60" s="35"/>
      <c r="AD60" s="36" t="e">
        <f t="shared" si="10"/>
        <v>#DIV/0!</v>
      </c>
    </row>
    <row r="61" ht="17.25" customHeight="1" spans="1:30" x14ac:dyDescent="0.25">
      <c r="A61" s="53" t="s">
        <v>86</v>
      </c>
      <c r="B61" s="53" t="s">
        <v>87</v>
      </c>
      <c r="C61" s="33" t="s">
        <v>88</v>
      </c>
      <c r="D61" s="36" t="e">
        <f t="shared" si="48"/>
        <v>#DIV/0!</v>
      </c>
      <c r="E61" s="34">
        <f t="shared" si="1"/>
      </c>
      <c r="F61" s="3"/>
      <c r="G61" s="35"/>
      <c r="H61" s="3"/>
      <c r="I61" s="35"/>
      <c r="J61" s="3"/>
      <c r="K61" s="35"/>
      <c r="L61" s="3"/>
      <c r="M61" s="35"/>
      <c r="N61" s="3"/>
      <c r="O61" s="35"/>
      <c r="P61" s="3"/>
      <c r="Q61" s="35"/>
      <c r="R61" s="3"/>
      <c r="S61" s="35"/>
      <c r="T61" s="3"/>
      <c r="U61" s="35"/>
      <c r="V61" s="3"/>
      <c r="W61" s="35"/>
      <c r="X61" s="3"/>
      <c r="Y61" s="35"/>
      <c r="Z61" s="3"/>
      <c r="AA61" s="35"/>
      <c r="AB61" s="30"/>
      <c r="AC61" s="35"/>
      <c r="AD61" s="36" t="e">
        <f t="shared" si="10"/>
        <v>#DIV/0!</v>
      </c>
    </row>
    <row r="62" ht="17.25" customHeight="1" spans="1:30" x14ac:dyDescent="0.25">
      <c r="A62" s="33" t="s">
        <v>89</v>
      </c>
      <c r="B62" s="53" t="s">
        <v>90</v>
      </c>
      <c r="C62" s="33" t="s">
        <v>90</v>
      </c>
      <c r="D62" s="36" t="e">
        <f t="shared" si="48"/>
        <v>#DIV/0!</v>
      </c>
      <c r="E62" s="34">
        <f t="shared" si="1"/>
      </c>
      <c r="F62" s="3"/>
      <c r="G62" s="35"/>
      <c r="H62" s="3"/>
      <c r="I62" s="35"/>
      <c r="J62" s="3"/>
      <c r="K62" s="35"/>
      <c r="L62" s="3"/>
      <c r="M62" s="35"/>
      <c r="N62" s="3"/>
      <c r="O62" s="35"/>
      <c r="P62" s="3"/>
      <c r="Q62" s="35"/>
      <c r="R62" s="3"/>
      <c r="S62" s="35"/>
      <c r="T62" s="3"/>
      <c r="V62" s="3"/>
      <c r="W62" s="35"/>
      <c r="X62" s="3"/>
      <c r="Y62" s="35"/>
      <c r="Z62" s="3"/>
      <c r="AA62" s="35"/>
      <c r="AB62" s="30"/>
      <c r="AC62" s="35"/>
      <c r="AD62" s="36" t="e">
        <f t="shared" si="10"/>
        <v>#DIV/0!</v>
      </c>
    </row>
    <row r="63" ht="17.25" customHeight="1" spans="1:30" x14ac:dyDescent="0.25">
      <c r="A63" s="33"/>
      <c r="B63" s="27" t="s">
        <v>91</v>
      </c>
      <c r="C63" s="33" t="s">
        <v>91</v>
      </c>
      <c r="D63" s="32" t="e">
        <f t="shared" si="48"/>
        <v>#DIV/0!</v>
      </c>
      <c r="E63" s="29">
        <f t="shared" si="1"/>
      </c>
      <c r="F63" s="30"/>
      <c r="G63" s="31"/>
      <c r="H63" s="30"/>
      <c r="I63" s="31"/>
      <c r="J63" s="30"/>
      <c r="K63" s="31"/>
      <c r="L63" s="30"/>
      <c r="M63" s="31"/>
      <c r="N63" s="30"/>
      <c r="O63" s="31"/>
      <c r="P63" s="30"/>
      <c r="Q63" s="31"/>
      <c r="R63" s="30"/>
      <c r="S63" s="31"/>
      <c r="T63" s="30"/>
      <c r="U63" s="31"/>
      <c r="V63" s="30"/>
      <c r="W63" s="31"/>
      <c r="X63" s="30"/>
      <c r="Y63" s="31"/>
      <c r="Z63" s="30"/>
      <c r="AA63" s="31"/>
      <c r="AB63" s="30"/>
      <c r="AC63" s="31"/>
      <c r="AD63" s="32" t="e">
        <f>E63/$E$6</f>
        <v>#DIV/0!</v>
      </c>
    </row>
    <row r="64" ht="17.25" customHeight="1" spans="1:30" x14ac:dyDescent="0.25">
      <c r="A64" s="33"/>
      <c r="B64" s="27" t="s">
        <v>92</v>
      </c>
      <c r="C64" s="33" t="s">
        <v>92</v>
      </c>
      <c r="D64" s="36" t="e">
        <f>E64/$E$6</f>
        <v>#DIV/0!</v>
      </c>
      <c r="E64" s="34">
        <f t="shared" si="1"/>
      </c>
      <c r="F64" s="30"/>
      <c r="G64" s="31"/>
      <c r="H64" s="30"/>
      <c r="I64" s="31"/>
      <c r="J64" s="30"/>
      <c r="K64" s="31"/>
      <c r="L64" s="30"/>
      <c r="M64" s="31"/>
      <c r="N64" s="30"/>
      <c r="O64" s="31"/>
      <c r="P64" s="30"/>
      <c r="Q64" s="31"/>
      <c r="R64" s="30"/>
      <c r="S64" s="31"/>
      <c r="T64" s="30"/>
      <c r="U64" s="31"/>
      <c r="V64" s="3"/>
      <c r="W64" s="31"/>
      <c r="X64" s="30"/>
      <c r="Y64" s="31"/>
      <c r="Z64" s="30"/>
      <c r="AA64" s="31"/>
      <c r="AB64" s="30"/>
      <c r="AC64" s="31"/>
      <c r="AD64" s="32" t="e">
        <f t="shared" ref="AD64:AD65" si="49">E64/$E$6</f>
        <v>#DIV/0!</v>
      </c>
    </row>
    <row r="65" ht="17.25" customHeight="1" spans="1:30" x14ac:dyDescent="0.25">
      <c r="A65" s="33" t="s">
        <v>93</v>
      </c>
      <c r="B65" s="27" t="s">
        <v>94</v>
      </c>
      <c r="C65" s="33" t="s">
        <v>95</v>
      </c>
      <c r="D65" s="32" t="e">
        <f>E65/$E$5</f>
        <v>#DIV/0!</v>
      </c>
      <c r="E65" s="29">
        <f t="shared" si="1"/>
      </c>
      <c r="F65" s="30"/>
      <c r="G65" s="31"/>
      <c r="H65" s="30"/>
      <c r="I65" s="31"/>
      <c r="J65" s="30"/>
      <c r="K65" s="31"/>
      <c r="L65" s="30"/>
      <c r="M65" s="31"/>
      <c r="N65" s="30"/>
      <c r="O65" s="31"/>
      <c r="P65" s="30"/>
      <c r="Q65" s="31"/>
      <c r="R65" s="30"/>
      <c r="S65" s="31"/>
      <c r="T65" s="30"/>
      <c r="U65" s="31"/>
      <c r="V65" s="30"/>
      <c r="W65" s="31"/>
      <c r="X65" s="30"/>
      <c r="Y65" s="31"/>
      <c r="Z65" s="30"/>
      <c r="AA65" s="31"/>
      <c r="AB65" s="30"/>
      <c r="AC65" s="31"/>
      <c r="AD65" s="32" t="e">
        <f t="shared" si="49"/>
        <v>#DIV/0!</v>
      </c>
    </row>
    <row r="66" ht="12.75" customHeight="1" spans="1:30" x14ac:dyDescent="0.25">
      <c r="A66" s="16"/>
      <c r="B66" s="16" t="s">
        <v>96</v>
      </c>
      <c r="C66" s="16"/>
      <c r="D66" s="17"/>
      <c r="E66" s="18"/>
      <c r="F66" s="21"/>
      <c r="G66" s="22">
        <f>G3+G5-G16</f>
        <v>10000</v>
      </c>
      <c r="H66" s="22">
        <f>H3+H5-H16</f>
      </c>
      <c r="I66" s="22">
        <f>I3+I5-I16</f>
        <v>10000</v>
      </c>
      <c r="J66" s="22">
        <f>J3-J5-J16</f>
      </c>
      <c r="K66" s="22">
        <f>K3+K5-K16</f>
        <v>10000</v>
      </c>
      <c r="L66" s="22">
        <f>L3+L5-L16</f>
      </c>
      <c r="M66" s="22">
        <f>M3+M5-M16</f>
        <v>10000</v>
      </c>
      <c r="N66" s="22">
        <f>N3+N5-N16</f>
      </c>
      <c r="O66" s="22">
        <f>O3+O5-O16</f>
        <v>10000</v>
      </c>
      <c r="P66" s="22">
        <f>P3+P5-P16</f>
      </c>
      <c r="Q66" s="22">
        <f>Q3+Q5-Q16</f>
        <v>10000</v>
      </c>
      <c r="R66" s="22">
        <f>R3+R5-R16</f>
      </c>
      <c r="S66" s="22">
        <f>S3+S5-S16</f>
        <v>10000</v>
      </c>
      <c r="T66" s="22">
        <f>T3+T5-T16</f>
      </c>
      <c r="U66" s="22">
        <f>U3+U5-U16</f>
        <v>10000</v>
      </c>
      <c r="V66" s="22" t="e">
        <f>V3+V5-V16</f>
        <v>#DIV/0!</v>
      </c>
      <c r="W66" s="22">
        <f>W3+W5-W16</f>
        <v>10000</v>
      </c>
      <c r="X66" s="22" t="e">
        <f>X3+X5-X16</f>
        <v>#DIV/0!</v>
      </c>
      <c r="Y66" s="22">
        <f>Y3+Y5-Y16</f>
        <v>10000</v>
      </c>
      <c r="Z66" s="22" t="e">
        <f>Z3+Z5-Z16</f>
        <v>#DIV/0!</v>
      </c>
      <c r="AA66" s="22">
        <f>AA3+AA5-AA16</f>
        <v>10000</v>
      </c>
      <c r="AB66" s="22">
        <f>AB3+AB5-AB16</f>
      </c>
      <c r="AC66" s="22">
        <f>AC3+AC5-AC16</f>
        <v>10000</v>
      </c>
      <c r="AD66" s="18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Cashflow_Misa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2026-03-30T09:59:07Z</dcterms:created>
  <dcterms:modified xsi:type="dcterms:W3CDTF">2026-03-30T09:59:07Z</dcterms:modified>
</cp:coreProperties>
</file>